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F:\260707與副總開會\"/>
    </mc:Choice>
  </mc:AlternateContent>
  <xr:revisionPtr revIDLastSave="0" documentId="13_ncr:1_{6011E2FA-7CEE-4994-AA84-DAB2F8BF884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驗收架構圖" sheetId="4" r:id="rId1"/>
    <sheet name="驗收檢核表" sheetId="2" r:id="rId2"/>
    <sheet name="量化指標彙總" sheetId="3" r:id="rId3"/>
    <sheet name="說明與驗收程序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4" i="1"/>
  <c r="C33" i="1"/>
  <c r="C32" i="1"/>
  <c r="C31" i="1"/>
  <c r="C30" i="1"/>
</calcChain>
</file>

<file path=xl/sharedStrings.xml><?xml version="1.0" encoding="utf-8"?>
<sst xmlns="http://schemas.openxmlformats.org/spreadsheetml/2006/main" count="720" uniqueCount="493">
  <si>
    <t>OCR 文件辨識模組專案　驗收標準清單</t>
  </si>
  <si>
    <t>華淵(需求方)× 智合科技(開發方)</t>
  </si>
  <si>
    <t>一、文件資訊</t>
  </si>
  <si>
    <t>文件版本</t>
  </si>
  <si>
    <t>v1.2(草案,供驗收標準討論會議使用)</t>
  </si>
  <si>
    <t>編製單位</t>
  </si>
  <si>
    <t>華淵團隊</t>
  </si>
  <si>
    <t>編製日期</t>
  </si>
  <si>
    <t>2026-07-07</t>
  </si>
  <si>
    <t>依據</t>
  </si>
  <si>
    <t>2026-07-03 需求確認與驗收範圍界定會議紀錄;最終以雙方正式契約約定為準</t>
  </si>
  <si>
    <t>二、專案交付範圍(本期)</t>
  </si>
  <si>
    <t>納入本期</t>
  </si>
  <si>
    <t>四類文件(財務報表、合約、財產目錄、市場授權金資料)之 OCR 還原/辨識;可串接之 OCR API(輸出檔案至指定路徑、含金鑰驗證);前端上傳→產出結果;修正大檔案被擋問題;科目/欄位對應調整;輸出格式選擇(Excel / Word)。</t>
  </si>
  <si>
    <t>未來延伸(不驗收)</t>
  </si>
  <si>
    <t>全文搜尋、AI 進階解析(合約條款摘要、附註回填報表細項等)。是否實作以雙方正式契約約定為準。</t>
  </si>
  <si>
    <t>確認不需要</t>
  </si>
  <si>
    <t>辨識檔案之保存/紀錄(資料庫)、使用者登入管理(沿用華淵 SaaS 平台權限管控)。</t>
  </si>
  <si>
    <t>三、驗收程序</t>
  </si>
  <si>
    <t>1. 測試資料</t>
  </si>
  <si>
    <t>日前先行提供一版資料，若須增加樣本數量請主動提出並明確說出要的份數。</t>
  </si>
  <si>
    <t>2. 自測與預驗</t>
  </si>
  <si>
    <t>智合完成開發後先行自測並提交自測報告;華淵預驗 5~10 個工作天(實際天數依雙方約定)。</t>
  </si>
  <si>
    <t>3. 正式驗收</t>
  </si>
  <si>
    <t>雙方召開驗收會議,依「驗收檢核表」逐項測試與判定,並記錄結果與缺失。</t>
  </si>
  <si>
    <t>4. 缺失分級</t>
  </si>
  <si>
    <t>重大缺失:必要項目不通過,或系統無法運作/資料錯誤致無法使用。一般缺失:重要或一般項目不通過,但不影響主要功能使用。</t>
  </si>
  <si>
    <t>5. 複測</t>
  </si>
  <si>
    <t>缺失由智合限期修復(建議:重大缺失 10 個工作天、一般缺失 20 個工作天,實際依契約),修復後就不通過項目複測。</t>
  </si>
  <si>
    <t>6. 驗收判定</t>
  </si>
  <si>
    <t>全部「必要」項目通過,且「重要」項目通過率達 90% 以上,方可判定驗收通過;「一般」項目缺失列入保固期改善。門檻可於下次會議調整。</t>
  </si>
  <si>
    <t>四、優先級定義</t>
  </si>
  <si>
    <t>必要</t>
  </si>
  <si>
    <t>本期契約核心交付,任一項不通過即不得驗收通過。</t>
  </si>
  <si>
    <t>重要</t>
  </si>
  <si>
    <t>顯著影響作業效率或品質,原則上應通過;未通過者須限期改善。</t>
  </si>
  <si>
    <t>一般</t>
  </si>
  <si>
    <t>體驗性/輔助性項目,可列入保固期或後續版本改善。</t>
  </si>
  <si>
    <t>五、檢核統計(自動計算)</t>
  </si>
  <si>
    <t>項目總數</t>
  </si>
  <si>
    <t>必要項目數</t>
  </si>
  <si>
    <t>重要項目數</t>
  </si>
  <si>
    <t>一般項目數</t>
  </si>
  <si>
    <t>已判定通過</t>
  </si>
  <si>
    <t>不通過</t>
  </si>
  <si>
    <t>註:本清單中標示「建議值」之量化門檻,係華淵依業界慣例擬定之建議,尚待雙方於驗收標準討論會議確認後定案。</t>
  </si>
  <si>
    <t>編號</t>
  </si>
  <si>
    <t>類別</t>
  </si>
  <si>
    <t>驗收項目</t>
  </si>
  <si>
    <t>驗收標準(含建議門檻)</t>
  </si>
  <si>
    <t>測試方法</t>
  </si>
  <si>
    <t>優先級</t>
  </si>
  <si>
    <t>會議依據</t>
  </si>
  <si>
    <t>驗收結果</t>
  </si>
  <si>
    <t>缺失說明</t>
  </si>
  <si>
    <t>複測結果</t>
  </si>
  <si>
    <t>備註</t>
  </si>
  <si>
    <t>A. 通用 OCR 引擎能力</t>
  </si>
  <si>
    <t>A-01</t>
  </si>
  <si>
    <t>通用 OCR 引擎能力</t>
  </si>
  <si>
    <t>印刷繁體中文辨識準確率</t>
  </si>
  <si>
    <t>字元級準確率 ≥ 98%(建議值)。輸出不得出現亂碼字元;亂碼/無法辨識字元比例 &lt; 0.5%(建議值)</t>
  </si>
  <si>
    <t>以測試集中之中文印刷掃描檔辨識,抽樣人工比對原文,計算(正確字元數 ÷ 總字元數)</t>
  </si>
  <si>
    <t>二、OCR 引擎期望(中文辨識差、易出亂碼為之前測試其他OCR痛點)</t>
  </si>
  <si>
    <t>未測</t>
  </si>
  <si>
    <t>A-02</t>
  </si>
  <si>
    <t>印刷英文辨識準確率</t>
  </si>
  <si>
    <t>字元級準確率 ≥ 99%(建議值)</t>
  </si>
  <si>
    <t>以英文掃描合約樣本辨識,抽樣比對計算準確率</t>
  </si>
  <si>
    <t>一-2、一-4(英文掃描合約)</t>
  </si>
  <si>
    <t>A-03</t>
  </si>
  <si>
    <t>數字與金額辨識準確率</t>
  </si>
  <si>
    <t>數字字元準確率 ≥ 99.5%(建議值);千分位、小數點、負號/括號不得誤判</t>
  </si>
  <si>
    <t>以財報、財產目錄樣本辨識,全數比對金額欄位</t>
  </si>
  <si>
    <t>一-1(財報金額需高準確度)</t>
  </si>
  <si>
    <t>A-04</t>
  </si>
  <si>
    <t>手寫文字辨識</t>
  </si>
  <si>
    <t>辨識率顯著優於華淵前測之離線 OCR 模組;建議字元級 ≥ 80%(建議值,待雙方依樣本實測討論)</t>
  </si>
  <si>
    <t>以含手寫註記之測試樣本實測,與前測模組結果對照</t>
  </si>
  <si>
    <t>二、OCR 引擎期望(手寫辨識率極低為前測痛點)</t>
  </si>
  <si>
    <t>A-05</t>
  </si>
  <si>
    <t>中英數混合文件辨識</t>
  </si>
  <si>
    <t>同一頁面混合中文、英文、數字時,辨識準確率不低於各單一語言之門檻</t>
  </si>
  <si>
    <t>以混合語言樣本(如中文財報含英文科目)實測</t>
  </si>
  <si>
    <t>二、通用型 OCR 引擎</t>
  </si>
  <si>
    <t>A-06</t>
  </si>
  <si>
    <t>表格結構辨識</t>
  </si>
  <si>
    <t>表格轉出後儲存格內容不錯位;列/欄對應正確率 ≥ 95%(建議值)</t>
  </si>
  <si>
    <t>以財報及財產目錄表格樣本辨識,比對列欄對應</t>
  </si>
  <si>
    <t>一-1、一-3</t>
  </si>
  <si>
    <t>A-07</t>
  </si>
  <si>
    <t>掃描品質容忍度</t>
  </si>
  <si>
    <t>解析度 200dpi 以上、傾斜 ±5° 以內之掃描檔仍達上述準確率門檻;更差品質檔案應仍可辨識並回報信心度或警示(建議)</t>
  </si>
  <si>
    <t>以不同品質之掃描樣本實測</t>
  </si>
  <si>
    <t>一、PBC 資料多為掃描檔</t>
  </si>
  <si>
    <t>A-08</t>
  </si>
  <si>
    <t>通用型引擎</t>
  </si>
  <si>
    <t>四類文件皆由同一 OCR API 處理,非僅財報專用模組;未來其他 App 可呼叫同一 API</t>
  </si>
  <si>
    <t>檢視 API 設計文件並以四類文件各別呼叫同一端點驗證</t>
  </si>
  <si>
    <t>B. 財務報表辨識</t>
  </si>
  <si>
    <t>B-01</t>
  </si>
  <si>
    <t>財務報表辨識</t>
  </si>
  <si>
    <t>三大報表類型支援</t>
  </si>
  <si>
    <t>資產負債表、損益表、現金流量表之圖片/掃描檔均可辨識</t>
  </si>
  <si>
    <t>以三類報表樣本各至少 5 份實測</t>
  </si>
  <si>
    <t>一-1</t>
  </si>
  <si>
    <t>B-02</t>
  </si>
  <si>
    <t>科目+金額成對輸出</t>
  </si>
  <si>
    <t>輸出為「會計科目 + 對應金額」成對格式,科目與金額不得錯位</t>
  </si>
  <si>
    <t>辨識樣本財報,逐筆核對科目與金額之對應</t>
  </si>
  <si>
    <t>一-1 期望輸出</t>
  </si>
  <si>
    <t>B-03</t>
  </si>
  <si>
    <t>長條式輸出</t>
  </si>
  <si>
    <t>輸出為長條式(單欄直列),非左右雙欄排版,可直接貼入工作底稿</t>
  </si>
  <si>
    <t>檢視輸出檔格式並實際貼入工作底稿驗證</t>
  </si>
  <si>
    <t>B-04</t>
  </si>
  <si>
    <t>科目名稱正確率</t>
  </si>
  <si>
    <t>科目名稱辨識正確率&gt;= 99%(建議值);常見科目(如應收帳款、營業收入)不得辨識錯誤</t>
  </si>
  <si>
    <t>逐筆比對辨識結果與原始報表科目</t>
  </si>
  <si>
    <t>B-05</t>
  </si>
  <si>
    <t>金額數值正確率</t>
  </si>
  <si>
    <t>金額正確率 ≥ 99.5%(建議值);含千分位、括號負數、小數位</t>
  </si>
  <si>
    <t>逐筆比對辨識金額與原始報表</t>
  </si>
  <si>
    <t>一-1(需能勾稽)</t>
  </si>
  <si>
    <t>B-06</t>
  </si>
  <si>
    <t>跨頁報表合併</t>
  </si>
  <si>
    <t>同一報表跨頁時,辨識結果自動接續合併為單一報表,無斷裂、無重複</t>
  </si>
  <si>
    <t>以跨頁財報樣本實測</t>
  </si>
  <si>
    <t>三、跨頁報表回饋</t>
  </si>
  <si>
    <t>B-07</t>
  </si>
  <si>
    <t>單位與幣別資訊</t>
  </si>
  <si>
    <t>報表之金額單位(元/仟元)及幣別標示應辨識並保留於輸出</t>
  </si>
  <si>
    <t>以不同單位之財報樣本實測</t>
  </si>
  <si>
    <t>B-08</t>
  </si>
  <si>
    <t>勾稽可用性</t>
  </si>
  <si>
    <t>輸出結果可供評價人員勾稽(如損益結轉至權益科目),科目金額對應正確、無遺漏科目</t>
  </si>
  <si>
    <t>由評價人員以輸出結果實際執行勾稽作業</t>
  </si>
  <si>
    <t>一-1 痛點</t>
  </si>
  <si>
    <t>B-09</t>
  </si>
  <si>
    <t>多年度/多份財報</t>
  </si>
  <si>
    <t>多年度、多份財報可分別辨識輸出,供後續人工並聯彙整;各份輸出可明確區分</t>
  </si>
  <si>
    <t>以同一公司多年度財報連續處理實測</t>
  </si>
  <si>
    <t>B-10</t>
  </si>
  <si>
    <t>附註回填</t>
  </si>
  <si>
    <t>附註(如附註 46.1)回填報表數字組成細項——會議確認難度較高,若智合評估後可以做到，雙方於合約中載明。</t>
  </si>
  <si>
    <t>不適用</t>
  </si>
  <si>
    <t>一-1 進階</t>
  </si>
  <si>
    <t>C. 合約辨識</t>
  </si>
  <si>
    <t>C-01</t>
  </si>
  <si>
    <t>合約辨識</t>
  </si>
  <si>
    <t>掃描合約文字還原</t>
  </si>
  <si>
    <t>無法反白之英文掃描合約(特別股合約、SPA 等)1:1 還原為可解析文字</t>
  </si>
  <si>
    <t>以樣本合約辨識,抽頁比對原文與還原文字</t>
  </si>
  <si>
    <t>一-2</t>
  </si>
  <si>
    <t>C-02</t>
  </si>
  <si>
    <t>輸出檔案格式</t>
  </si>
  <si>
    <t>可輸出 Word(.docx)、txt 或可解析 PDF;合約類預設/可選 Word</t>
  </si>
  <si>
    <t>檢視輸出選項並實際下載各格式開啟驗證</t>
  </si>
  <si>
    <t>一-2、三、輸出格式建議</t>
  </si>
  <si>
    <t>C-03</t>
  </si>
  <si>
    <t>內容完整性</t>
  </si>
  <si>
    <t>全文漏字率 &lt; 1%(建議值);不得整段遺漏;條款編號完整</t>
  </si>
  <si>
    <t>抽樣段落比對;檢查條款編號連續性</t>
  </si>
  <si>
    <t>一-2(1:1 還原)</t>
  </si>
  <si>
    <t>C-04</t>
  </si>
  <si>
    <t>段落順序正確</t>
  </si>
  <si>
    <t>文字段落順序須與原文一致(後續供 AI 解析用)</t>
  </si>
  <si>
    <t>抽頁比對段落順序</t>
  </si>
  <si>
    <t>一-2 輸出原則</t>
  </si>
  <si>
    <t>C-05</t>
  </si>
  <si>
    <t>長合約處理</t>
  </si>
  <si>
    <t>單份 100 頁以上之合約可完整處理不中斷</t>
  </si>
  <si>
    <t>以 100+ 頁樣本合約實測</t>
  </si>
  <si>
    <t>一-4(單份可達 100+ 頁)</t>
  </si>
  <si>
    <t>C-06</t>
  </si>
  <si>
    <t>關鍵數值還原</t>
  </si>
  <si>
    <t>合約內數字、百分比(如權利金比率)、日期、金額正確還原</t>
  </si>
  <si>
    <t>抽取樣本合約內關鍵數值逐一比對</t>
  </si>
  <si>
    <t>一-4 痛點</t>
  </si>
  <si>
    <t>D. 財產目錄辨識</t>
  </si>
  <si>
    <t>D-01</t>
  </si>
  <si>
    <t>財產目錄辨識</t>
  </si>
  <si>
    <t>直接輸出 Excel</t>
  </si>
  <si>
    <t>財產目錄掃描檔辨識後於前端直接產出 Excel 檔</t>
  </si>
  <si>
    <t>上傳樣本財產目錄,驗證可直接下載 Excel</t>
  </si>
  <si>
    <t>一-3 期望</t>
  </si>
  <si>
    <t>D-02</t>
  </si>
  <si>
    <t>欄位完整性</t>
  </si>
  <si>
    <t>輸出欄位涵蓋:財產名稱、數量、單位、取得時點、折舊攤銷、未折減餘額(以實際樣本欄位為準，輸入有哪些欄位輸出就應該有)</t>
  </si>
  <si>
    <t>比對輸出 Excel 欄位與原始清冊欄位</t>
  </si>
  <si>
    <t>一-3</t>
  </si>
  <si>
    <t>D-03</t>
  </si>
  <si>
    <t>欄位對應正確率</t>
  </si>
  <si>
    <t>逐列資料不錯欄;列資料完整正確率 &gt;=99%(建議值)</t>
  </si>
  <si>
    <t>抽樣列比對各欄位值與原稿</t>
  </si>
  <si>
    <t>一-3(結構化資料)</t>
  </si>
  <si>
    <t>D-04</t>
  </si>
  <si>
    <t>大量資料處理</t>
  </si>
  <si>
    <t>上萬筆(數百頁)清冊可完整辨識輸出,筆數不遺漏</t>
  </si>
  <si>
    <t>以大量筆數樣本實測,核對總筆數</t>
  </si>
  <si>
    <t>一-3(大公司上萬~數萬筆)</t>
  </si>
  <si>
    <t>D-05</t>
  </si>
  <si>
    <t>數值與日期格式</t>
  </si>
  <si>
    <t>金額為數值格式(非文字)、日期格式正確,輸出 Excel 可直接運算</t>
  </si>
  <si>
    <t>於輸出 Excel 以 SUM 等公式驗證可運算</t>
  </si>
  <si>
    <t>一-3(提升作業效率)</t>
  </si>
  <si>
    <t>E. 市場授權金資料辨識</t>
  </si>
  <si>
    <t>E-01</t>
  </si>
  <si>
    <t>市場授權金資料辨識</t>
  </si>
  <si>
    <t>掃描授權合約還原</t>
  </si>
  <si>
    <t>英文掃描授權合約還原為可解析文字(標準同 C 類)</t>
  </si>
  <si>
    <t>以授權金樣本資料夾內掃描檔實測</t>
  </si>
  <si>
    <t>一-4</t>
  </si>
  <si>
    <t>E-02</t>
  </si>
  <si>
    <t>批次處理</t>
  </si>
  <si>
    <t>可批次/連續處理多份文件(如樣本資料夾約 81 筆),逐一產出結果</t>
  </si>
  <si>
    <t>以樣本資料夾批次處理實測</t>
  </si>
  <si>
    <t>E-03</t>
  </si>
  <si>
    <t>可複製文字檔不劣化</t>
  </si>
  <si>
    <t>原已可複製之 txt/可反白 PDF,處理後內容不劣化、不亂碼</t>
  </si>
  <si>
    <t>以 txt 樣本處理前後比對</t>
  </si>
  <si>
    <t>一-4(部分為 txt)</t>
  </si>
  <si>
    <t>E-04</t>
  </si>
  <si>
    <t>權利金關鍵資訊可尋</t>
  </si>
  <si>
    <t>還原文字中權利金比率、標的、授權範圍等關鍵字句正確,可供後續以搜尋/AI 萃取</t>
  </si>
  <si>
    <t>於還原文字中人工搜尋權利金比率並與原稿核對</t>
  </si>
  <si>
    <t>一-4 痛點(全文搜尋屬未來延伸,本期僅驗文字還原品質)</t>
  </si>
  <si>
    <t>F. 系統架構與 API</t>
  </si>
  <si>
    <t>F-01</t>
  </si>
  <si>
    <t>系統架構與 API</t>
  </si>
  <si>
    <t>Server 端架構</t>
  </si>
  <si>
    <t>OCR 引擎部署於 server 端,應用程式以 API 呼叫,由 server 處理後回傳結果</t>
  </si>
  <si>
    <t>檢視部署架構文件;實際透過 API 呼叫驗證</t>
  </si>
  <si>
    <t>二、架構要求</t>
  </si>
  <si>
    <t>F-02</t>
  </si>
  <si>
    <t>不佔用本機效能</t>
  </si>
  <si>
    <t>辨識執行期間,使用者本機 CPU/記憶體無明顯占用,可正常執行其他工作</t>
  </si>
  <si>
    <t>於辨識執行時監測本機資源使用率</t>
  </si>
  <si>
    <t>二(前測模組吃 CPU 為痛點)</t>
  </si>
  <si>
    <t>F-03</t>
  </si>
  <si>
    <t>API 金鑰驗證</t>
  </si>
  <si>
    <t>API 需金鑰/驗證機制;無金鑰或金鑰錯誤之請求一律拒絕(回傳 401/403),不得僅憑網址即可使用</t>
  </si>
  <si>
    <t>以無金鑰、錯誤金鑰、正確金鑰三種情境呼叫 API 驗證</t>
  </si>
  <si>
    <t>二、安全要求</t>
  </si>
  <si>
    <t>F-04</t>
  </si>
  <si>
    <t>傳輸安全</t>
  </si>
  <si>
    <t>API 以 HTTPS 加密傳輸(建議);測試檔案內容不落地保存於 server(配合「不需檔案保存」共識)</t>
  </si>
  <si>
    <t>檢視 API 端點協定;確認 server 端無留存辨識檔案</t>
  </si>
  <si>
    <t>二、安全;四、不需檔案保存</t>
  </si>
  <si>
    <t>F-05</t>
  </si>
  <si>
    <t>輸出至指定路徑</t>
  </si>
  <si>
    <t>API 可將辨識結果輸出成檔案至呼叫方指定路徑</t>
  </si>
  <si>
    <t>以 API 呼叫指定不同輸出路徑驗證</t>
  </si>
  <si>
    <t>四、本期範圍</t>
  </si>
  <si>
    <t>F-06</t>
  </si>
  <si>
    <t>API 技術文件</t>
  </si>
  <si>
    <t>提供完整 API 文件:端點、請求/回應參數、支援檔案格式與大小限制、錯誤碼、串接範例</t>
  </si>
  <si>
    <t>檢視文件並由華淵技術人員依文件實作串接測試</t>
  </si>
  <si>
    <t>四、提供可串接的 OCR API</t>
  </si>
  <si>
    <t>F-07</t>
  </si>
  <si>
    <t>錯誤處理</t>
  </si>
  <si>
    <t>檔案格式不支援、超過大小限制、辨識失敗等情境,回傳明確錯誤訊息(非無回應或當機)</t>
  </si>
  <si>
    <t>以異常檔案(損毀檔、超大檔、不支援格式)實測</t>
  </si>
  <si>
    <t>三、上傳限制回饋</t>
  </si>
  <si>
    <t>F-08</t>
  </si>
  <si>
    <t>SaaS 平台可整合</t>
  </si>
  <si>
    <t>此通用OCR 可內嵌華淵自有 SaaS 平台,沿用該平台登入權限;不另建使用者登入管理</t>
  </si>
  <si>
    <t>與華淵平台整合測試(或以文件確認整合方式)</t>
  </si>
  <si>
    <t>四、確認不需要的功能</t>
  </si>
  <si>
    <t>G. 前端功能</t>
  </si>
  <si>
    <t>G-01</t>
  </si>
  <si>
    <t>前端功能</t>
  </si>
  <si>
    <t>上傳→產出流程</t>
  </si>
  <si>
    <t>使用者可直接上傳檔案→執行辨識→取得結果檔,流程可獨立完成</t>
  </si>
  <si>
    <t>實際操作完整流程</t>
  </si>
  <si>
    <t>G-02</t>
  </si>
  <si>
    <t>大檔案上傳修正</t>
  </si>
  <si>
    <t>大檔案(如 60 頁)不再於輸入端被直接擋下;支援上限:頁數 ≥ ___ 頁、大小 ≥ ___ MB(具體值由華淵盤點最大需求後與智合確認);允收判定與量測方式詳「量化指標彙總」</t>
  </si>
  <si>
    <t>以會議所述 60 頁檔案及約定上限之檔案實測上傳</t>
  </si>
  <si>
    <t>三、上傳限制;五、待辦 #2</t>
  </si>
  <si>
    <t>G-03</t>
  </si>
  <si>
    <t>選擇頁面功能</t>
  </si>
  <si>
    <t>大檔案上傳後可正常進入「選擇頁面」功能,指定辨識頁範圍</t>
  </si>
  <si>
    <t>以大檔案實測選擇頁面</t>
  </si>
  <si>
    <t>三、上傳限制(連選擇頁面都進不去)</t>
  </si>
  <si>
    <t>G-04</t>
  </si>
  <si>
    <t>輸出格式選擇</t>
  </si>
  <si>
    <t>提供輸出格式選擇(Excel / Word):合約類可選 Word、表格類可選 Excel</t>
  </si>
  <si>
    <t>實際操作切換輸出格式並下載驗證</t>
  </si>
  <si>
    <t>三、輸出格式建議;五、待辦 #3</t>
  </si>
  <si>
    <t>G-05</t>
  </si>
  <si>
    <t>科目/欄位對應調整</t>
  </si>
  <si>
    <t>辨識結果依約定完成會計科目/欄位對應之調整(整理成「科目+金額」格式,非僅逐頁原文)</t>
  </si>
  <si>
    <t>以財報樣本驗證輸出即為約定格式</t>
  </si>
  <si>
    <t>三、辨識結果呈現;五、待辦 #3</t>
  </si>
  <si>
    <t>G-06</t>
  </si>
  <si>
    <t>結果檢視與下載</t>
  </si>
  <si>
    <t>辨識結果可於前端檢視(含轉表格)並下載</t>
  </si>
  <si>
    <t>實際操作檢視與下載</t>
  </si>
  <si>
    <t>三、現有功能延續</t>
  </si>
  <si>
    <t>G-07</t>
  </si>
  <si>
    <t>支援輸入格式</t>
  </si>
  <si>
    <t>支援常見輸入格式:PDF(掃描)、JPG/PNG 等圖片檔(具體清單依 API 文件)</t>
  </si>
  <si>
    <t>以各格式樣本實測上傳辨識</t>
  </si>
  <si>
    <t>一、PBC 多為圖片/掃描檔</t>
  </si>
  <si>
    <t>H. 效能/使用者體驗</t>
  </si>
  <si>
    <t>H-01</t>
  </si>
  <si>
    <t>效能</t>
  </si>
  <si>
    <t>單頁處理速度</t>
  </si>
  <si>
    <t>一般品質單頁平均處理時間 ≤ 5 秒/頁(建議值,server 端)</t>
  </si>
  <si>
    <t>以 20 頁以上樣本量測平均每頁耗時</t>
  </si>
  <si>
    <t>二、效能應優於市面通用 OCR</t>
  </si>
  <si>
    <t>H-02</t>
  </si>
  <si>
    <t>長文件處理時間</t>
  </si>
  <si>
    <t>100 頁文件完整辨識 ≤ 15 分鐘(建議值)</t>
  </si>
  <si>
    <t>以 100 頁樣本實測總耗時</t>
  </si>
  <si>
    <t>一-4、三</t>
  </si>
  <si>
    <t>H-03</t>
  </si>
  <si>
    <t>並行處理</t>
  </si>
  <si>
    <t>多使用者同時上傳時系統不阻塞、不互相干擾;建議支援 ≥ 5 件同時處理(建議值,依 server 資源與智合確認)</t>
  </si>
  <si>
    <t>多人/多件同時上傳實測</t>
  </si>
  <si>
    <t>三、server 資源限制說明</t>
  </si>
  <si>
    <t>H-04</t>
  </si>
  <si>
    <t>大檔案穩定性</t>
  </si>
  <si>
    <t>約定上限內之大檔案處理不逾時、不失敗;失敗時有明確訊息且可重試</t>
  </si>
  <si>
    <t>以上限邊界檔案重複實測 3 次以上</t>
  </si>
  <si>
    <t>三、上傳限制</t>
  </si>
  <si>
    <t>H-05</t>
  </si>
  <si>
    <t>處理進度回饋</t>
  </si>
  <si>
    <t>長時間處理時,前端顯示處理中狀態/進度或完成通知</t>
  </si>
  <si>
    <t>以長文件實測觀察</t>
  </si>
  <si>
    <t>三(體驗改善)</t>
  </si>
  <si>
    <t>I. 交付項目與文件</t>
  </si>
  <si>
    <t>I-01</t>
  </si>
  <si>
    <t>交付項目與文件</t>
  </si>
  <si>
    <t>專案原始程式碼</t>
  </si>
  <si>
    <t>專案原始碼</t>
  </si>
  <si>
    <t>程式碼能由華淵實際運作成功</t>
  </si>
  <si>
    <t>I-02</t>
  </si>
  <si>
    <t>OCR API 交付</t>
  </si>
  <si>
    <t>API 正式環境部署完成、可呼叫,含金鑰發放機制</t>
  </si>
  <si>
    <t>串接實測</t>
  </si>
  <si>
    <t>I-03</t>
  </si>
  <si>
    <t>前端系統交付</t>
  </si>
  <si>
    <t>前端上傳辨識功能部署完成、可操作</t>
  </si>
  <si>
    <t>操作實測</t>
  </si>
  <si>
    <t>I-04</t>
  </si>
  <si>
    <t>自測報告</t>
  </si>
  <si>
    <t>智合提交以華淵測試檔為準之自測(請由智合開發人員主動向華淵提出資料需求)/測試報告,含各類文件辨識結果與準確率</t>
  </si>
  <si>
    <t>檢視報告內容完整性</t>
  </si>
  <si>
    <t>四(以正式契約為準)</t>
  </si>
  <si>
    <t>I-05</t>
  </si>
  <si>
    <t>操作文件/教育訓練</t>
  </si>
  <si>
    <t>提供使用者操作說明文件;必要時安排教育訓練(形式依雙方約定)</t>
  </si>
  <si>
    <t>檢視文件;依文件可獨立完成操作</t>
  </si>
  <si>
    <t>交付慣例(會議未明列,建議納入)</t>
  </si>
  <si>
    <t>I-06</t>
  </si>
  <si>
    <t>保固與支援</t>
  </si>
  <si>
    <t>驗收後保固期及缺失修復機制載明(期間與回應時效依正式契約)</t>
  </si>
  <si>
    <t>檢視契約條款</t>
  </si>
  <si>
    <t>量化指標彙總(建議值,待智合科技閱讀完後會議雙方確認)</t>
  </si>
  <si>
    <t>指標</t>
  </si>
  <si>
    <t>建議門檻</t>
  </si>
  <si>
    <t>定義 / 計算方式</t>
  </si>
  <si>
    <t>抽樣方法與樣本數</t>
  </si>
  <si>
    <t>允收判定</t>
  </si>
  <si>
    <t>未達標處理</t>
  </si>
  <si>
    <t>對應檢核項</t>
  </si>
  <si>
    <t>狀態</t>
  </si>
  <si>
    <t>一、辨識準確率</t>
  </si>
  <si>
    <t>印刷繁體中文字元準確率</t>
  </si>
  <si>
    <t>≥ 98%</t>
  </si>
  <si>
    <t>正確字元數 ÷ 原文總字元數(字元級);辨識錯、漏、多皆計為錯誤</t>
  </si>
  <si>
    <t>每份中文樣本隨機抽 3 頁以上全文比對;總比對字元數 ≥ 5,000 字</t>
  </si>
  <si>
    <t>整體加權平均達門檻,且任一單份文件不得低於 95%</t>
  </si>
  <si>
    <t>未達標:智合調校後以同一測試集複測;複測仍未達列重大缺失</t>
  </si>
  <si>
    <t>建議值,待確認</t>
  </si>
  <si>
    <t>印刷英文字元準確率</t>
  </si>
  <si>
    <t>≥ 99%</t>
  </si>
  <si>
    <t>同上,以英文合約樣本計算</t>
  </si>
  <si>
    <t>每份英文樣本隨機抽 5 頁全文比對;總比對字元數 ≥ 10,000 字元</t>
  </si>
  <si>
    <t>整體平均達門檻,且任一單份不得低於 97%</t>
  </si>
  <si>
    <t>同上</t>
  </si>
  <si>
    <t>數字/金額準確率</t>
  </si>
  <si>
    <t>≥ 99.5%</t>
  </si>
  <si>
    <t>金額欄位逐筆比對;千分位、小數點、括號負數任一錯誤即該筆計錯</t>
  </si>
  <si>
    <t>財報樣本全數金額逐筆比對;財產目錄抽 500 筆以上</t>
  </si>
  <si>
    <t>達門檻;且不得出現「數字錯但看不出異常」之型態錯誤(如 3→8)未經警示</t>
  </si>
  <si>
    <t>金額攸關評價正確性,未達標列重大缺失</t>
  </si>
  <si>
    <t>A-03 / B-05</t>
  </si>
  <si>
    <t>亂碼字元比例</t>
  </si>
  <si>
    <t>&lt; 0.5%</t>
  </si>
  <si>
    <t>輸出中亂碼、替代符號(�)、無法辨識字元數 ÷ 總字元數</t>
  </si>
  <si>
    <t>與 A-01/A-02 同批抽樣頁一併計算</t>
  </si>
  <si>
    <t>達門檻;不得出現整段亂碼</t>
  </si>
  <si>
    <t>整段亂碼列重大缺失</t>
  </si>
  <si>
    <t>手寫文字辨識率</t>
  </si>
  <si>
    <t>≥ 80%</t>
  </si>
  <si>
    <t>手寫字元級準確率;以雙方可辨讀之手寫內容為分母</t>
  </si>
  <si>
    <t>手寫樣本全文比對;樣本 ≥ 3 份</t>
  </si>
  <si>
    <t>達建議門檻;門檻如經雙方實測討論調整,以華淵確認之數值為準</t>
  </si>
  <si>
    <t>未達標由智合調校後以同一樣本複測</t>
  </si>
  <si>
    <t>表格列欄對應正確率</t>
  </si>
  <si>
    <t>≥ 95%</t>
  </si>
  <si>
    <t>(總儲存格數 − 錯位/錯欄儲存格數)÷ 總儲存格數</t>
  </si>
  <si>
    <t>財報表格全數比對;財產目錄抽 300 儲存格以上</t>
  </si>
  <si>
    <t>達門檻;同一列科目與金額不得互相錯位(錯位即該列全錯)</t>
  </si>
  <si>
    <t>錯位影響勾稽,未達標列重大缺失</t>
  </si>
  <si>
    <t>二、財務報表</t>
  </si>
  <si>
    <t>&gt;= 99%</t>
  </si>
  <si>
    <t>科目逐筆比對;錯字致科目無法辨認即計錯,可辨認之異體/簡繁差異不計錯</t>
  </si>
  <si>
    <t>測試集財報全數科目逐筆比對</t>
  </si>
  <si>
    <t>達門檻;常用科目(現金、應收帳款、營業收入等)不得辨識錯誤</t>
  </si>
  <si>
    <t>調校後複測</t>
  </si>
  <si>
    <t>科目遺漏率</t>
  </si>
  <si>
    <t>0 筆</t>
  </si>
  <si>
    <t>原始報表有列示但輸出遺漏之科目筆數</t>
  </si>
  <si>
    <t>測試集財報全數比對</t>
  </si>
  <si>
    <t>不得遺漏任何科目列(含小計、合計列)</t>
  </si>
  <si>
    <t>遺漏科目致無法勾稽,列重大缺失</t>
  </si>
  <si>
    <t>B-02 / B-08</t>
  </si>
  <si>
    <t>跨頁報表合併正確率</t>
  </si>
  <si>
    <t>100%</t>
  </si>
  <si>
    <t>跨頁報表自動接續合併,無斷裂、無重複列、順序正確</t>
  </si>
  <si>
    <t>測試集內全部跨頁財報實測</t>
  </si>
  <si>
    <t>全數正確合併</t>
  </si>
  <si>
    <t>三、合約 / 授權金文件</t>
  </si>
  <si>
    <t>合約全文漏字率</t>
  </si>
  <si>
    <t>&lt; 1%</t>
  </si>
  <si>
    <t>抽樣段落遺漏字元數 ÷ 段落總字元數;整段遺漏另計</t>
  </si>
  <si>
    <t>每份合約隨機抽 5 頁比對;100+ 頁長合約加抽首、中、末各 2 頁</t>
  </si>
  <si>
    <t>達門檻,且不得整段(≥ 1 句)遺漏</t>
  </si>
  <si>
    <t>整段遺漏列重大缺失</t>
  </si>
  <si>
    <t>關鍵數值還原正確率</t>
  </si>
  <si>
    <t>合約內百分比(權利金比率)、金額、日期、條款編號之還原正確性</t>
  </si>
  <si>
    <t>每份樣本由華淵預先標記 10 處以上關鍵數值,逐一核對</t>
  </si>
  <si>
    <t>標記處全數正確</t>
  </si>
  <si>
    <t>關鍵數值錯誤直接影響評價引用,列重大缺失</t>
  </si>
  <si>
    <t>C-06 / E-04</t>
  </si>
  <si>
    <t>批次處理成功率</t>
  </si>
  <si>
    <t>批次送件中成功產出結果之件數比例;失敗件須有明確錯誤訊息</t>
  </si>
  <si>
    <t>以授權金測試檔全數批次處理</t>
  </si>
  <si>
    <t>達門檻;失敗件重送一次應成功或回報明確原因</t>
  </si>
  <si>
    <t>txt/可反白檔不劣化</t>
  </si>
  <si>
    <t>原已可複製之文字處理後內容一致,無亂碼、無遺漏</t>
  </si>
  <si>
    <t>txt 類測試檔全數處理前後 diff 比對</t>
  </si>
  <si>
    <t>內容一致(空白/換行差異不計)</t>
  </si>
  <si>
    <t>四、財產目錄</t>
  </si>
  <si>
    <t>列資料完整正確率</t>
  </si>
  <si>
    <t>抽樣列中「全欄位皆正確」之列數 ÷ 抽樣列數</t>
  </si>
  <si>
    <t>隨機抽 300 列以上(大量樣本至少抽 3 個頁段)</t>
  </si>
  <si>
    <t>達門檻,且錯誤不集中於特定欄位(單一欄位錯誤率 &lt; 5%)</t>
  </si>
  <si>
    <t>筆數完整率</t>
  </si>
  <si>
    <t>輸出 Excel 總列數 = 原始清冊總筆數,不得遺漏或重複</t>
  </si>
  <si>
    <t>以原始清冊筆數(或頁 × 每頁筆數推算)核對輸出總列數</t>
  </si>
  <si>
    <t>筆數一致</t>
  </si>
  <si>
    <t>筆數不符列重大缺失</t>
  </si>
  <si>
    <t>五、效能與系統</t>
  </si>
  <si>
    <t>單頁平均處理時間</t>
  </si>
  <si>
    <t>≤ 5 秒/頁</t>
  </si>
  <si>
    <t>server 端自收件至該頁結果完成之平均時間</t>
  </si>
  <si>
    <t>以 20 頁以上樣本量測 3 次取平均</t>
  </si>
  <si>
    <t>平均達門檻(尖峰時段另議)</t>
  </si>
  <si>
    <t>與智合依 server 資源協商調整</t>
  </si>
  <si>
    <t>100 頁文件總處理時間</t>
  </si>
  <si>
    <t>≤ 15 分鐘</t>
  </si>
  <si>
    <t>上傳完成至結果檔產出</t>
  </si>
  <si>
    <t>以 100 頁樣本實測 3 次</t>
  </si>
  <si>
    <t>3 次皆達門檻,且無失敗</t>
  </si>
  <si>
    <t>同時處理件數</t>
  </si>
  <si>
    <t>≥ 5 件</t>
  </si>
  <si>
    <t>多件並行處理不阻塞、不互相干擾、皆正常完成</t>
  </si>
  <si>
    <t>5 件同時上傳實測 2 輪</t>
  </si>
  <si>
    <t>全數完成且單件耗時不超過單獨處理之 2 倍</t>
  </si>
  <si>
    <t>依 server 資源與智合確認後定案</t>
  </si>
  <si>
    <t>建議值,依 server 資源確認</t>
  </si>
  <si>
    <t>大檔案處理成功率</t>
  </si>
  <si>
    <t>約定上限內(頁數 ≥ ___ 頁 / 大小 ≥ ___ MB)之檔案處理成功</t>
  </si>
  <si>
    <t>以上限邊界檔案連續實測 3 次</t>
  </si>
  <si>
    <t>3 次皆成功;失敗時有明確訊息且可重試</t>
  </si>
  <si>
    <t>上限值由華淵盤點後填入;未達標列重大缺失</t>
  </si>
  <si>
    <t>G-02 / H-04</t>
  </si>
  <si>
    <t>待華淵盤點後確認</t>
  </si>
  <si>
    <t>API 驗證拒斥率</t>
  </si>
  <si>
    <t>無金鑰、錯誤金鑰、逾期金鑰之請求一律拒絕(401/403)</t>
  </si>
  <si>
    <t>三種異常情境各測 5 次</t>
  </si>
  <si>
    <t>全數拒絕且回應明確錯誤碼;正確金鑰全數放行</t>
  </si>
  <si>
    <t>安全項目,未達標列重大缺失</t>
  </si>
  <si>
    <t>異常檔案錯誤處理率</t>
  </si>
  <si>
    <t>不支援格式、損毀檔、超限檔皆回傳明確錯誤訊息,不得無回應或當機</t>
  </si>
  <si>
    <t>各異常情境至少 1 檔實測</t>
  </si>
  <si>
    <t>全數回傳可理解之錯誤訊息</t>
  </si>
  <si>
    <r>
      <t xml:space="preserve">OCR </t>
    </r>
    <r>
      <rPr>
        <b/>
        <sz val="14"/>
        <color rgb="FF1F3864"/>
        <rFont val="新細明體"/>
        <family val="1"/>
        <charset val="136"/>
      </rPr>
      <t>文件辨識模組</t>
    </r>
    <r>
      <rPr>
        <b/>
        <sz val="14"/>
        <color rgb="FF1F3864"/>
        <rFont val="Times New Roman"/>
        <family val="1"/>
      </rPr>
      <t xml:space="preserve"> — </t>
    </r>
    <r>
      <rPr>
        <b/>
        <sz val="14"/>
        <color rgb="FF1F3864"/>
        <rFont val="新細明體"/>
        <family val="1"/>
        <charset val="136"/>
      </rPr>
      <t>驗收檢核表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</si>
</sst>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sz val="9"/>
      <name val="細明體"/>
      <family val="3"/>
      <charset val="136"/>
    </font>
    <font>
      <sz val="10"/>
      <name val="Times New Roman"/>
      <family val="1"/>
    </font>
    <font>
      <b/>
      <sz val="10"/>
      <color rgb="FFC00000"/>
      <name val="Times New Roman"/>
      <family val="1"/>
    </font>
    <font>
      <sz val="11"/>
      <color theme="1"/>
      <name val="Times New Roman"/>
      <family val="1"/>
    </font>
    <font>
      <b/>
      <sz val="11"/>
      <color rgb="FF1F3864"/>
      <name val="Times New Roman"/>
      <family val="1"/>
    </font>
    <font>
      <b/>
      <sz val="14"/>
      <color rgb="FF1F3864"/>
      <name val="Times New Roman"/>
      <family val="1"/>
    </font>
    <font>
      <b/>
      <sz val="11"/>
      <color rgb="FFFFFFFF"/>
      <name val="Times New Roman"/>
      <family val="1"/>
    </font>
    <font>
      <b/>
      <sz val="10"/>
      <color rgb="FF1F3864"/>
      <name val="Times New Roman"/>
      <family val="1"/>
    </font>
    <font>
      <b/>
      <sz val="18"/>
      <color rgb="FF1F3864"/>
      <name val="Times New Roman"/>
      <family val="1"/>
    </font>
    <font>
      <sz val="12"/>
      <name val="Times New Roman"/>
      <family val="1"/>
    </font>
    <font>
      <b/>
      <sz val="13"/>
      <color rgb="FF1F386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color rgb="FFC00000"/>
      <name val="Times New Roman"/>
      <family val="1"/>
    </font>
    <font>
      <b/>
      <sz val="14"/>
      <color rgb="FF1F3864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top" wrapText="1"/>
    </xf>
    <xf numFmtId="0" fontId="4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3" borderId="1" xfId="0" applyFont="1" applyFill="1" applyBorder="1"/>
    <xf numFmtId="0" fontId="4" fillId="0" borderId="0" xfId="0" applyFont="1" applyAlignment="1">
      <alignment vertical="center"/>
    </xf>
    <xf numFmtId="0" fontId="14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370916</xdr:colOff>
      <xdr:row>0</xdr:row>
      <xdr:rowOff>133909</xdr:rowOff>
    </xdr:from>
    <xdr:ext cx="9620250" cy="774326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0916" y="133909"/>
          <a:ext cx="9620250" cy="77432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"/>
  <sheetViews>
    <sheetView showGridLines="0" topLeftCell="A4" zoomScaleNormal="100" workbookViewId="0">
      <selection activeCell="V20" sqref="V20"/>
    </sheetView>
  </sheetViews>
  <sheetFormatPr defaultRowHeight="15" x14ac:dyDescent="0.25"/>
  <sheetData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zoomScale="115" zoomScaleNormal="115" workbookViewId="0">
      <pane ySplit="2" topLeftCell="A3" activePane="bottomLeft" state="frozen"/>
      <selection pane="bottomLeft" activeCell="A2" sqref="A2"/>
    </sheetView>
  </sheetViews>
  <sheetFormatPr defaultColWidth="8.7109375" defaultRowHeight="15" x14ac:dyDescent="0.25"/>
  <cols>
    <col min="1" max="1" width="8" style="4" customWidth="1"/>
    <col min="2" max="2" width="24" style="4" customWidth="1"/>
    <col min="3" max="3" width="26" style="4" customWidth="1"/>
    <col min="4" max="4" width="77.85546875" style="4" bestFit="1" customWidth="1"/>
    <col min="5" max="5" width="44" style="4" customWidth="1"/>
    <col min="6" max="6" width="8" style="10" customWidth="1"/>
    <col min="7" max="7" width="32" style="4" customWidth="1"/>
    <col min="8" max="8" width="10" style="10" customWidth="1"/>
    <col min="9" max="9" width="20" style="4" customWidth="1"/>
    <col min="10" max="10" width="10" style="4" customWidth="1"/>
    <col min="11" max="11" width="18" style="4" customWidth="1"/>
    <col min="12" max="12" width="8.7109375" style="4" customWidth="1"/>
    <col min="13" max="16384" width="8.7109375" style="4"/>
  </cols>
  <sheetData>
    <row r="1" spans="1:11" ht="21" customHeight="1" x14ac:dyDescent="0.3">
      <c r="A1" s="28" t="s">
        <v>492</v>
      </c>
      <c r="B1" s="29"/>
      <c r="C1" s="29"/>
      <c r="D1" s="29"/>
      <c r="E1" s="29"/>
      <c r="F1" s="30"/>
      <c r="G1" s="29"/>
      <c r="H1" s="30"/>
      <c r="I1" s="29"/>
      <c r="J1" s="29"/>
      <c r="K1" s="29"/>
    </row>
    <row r="2" spans="1:11" ht="16.5" customHeight="1" x14ac:dyDescent="0.25">
      <c r="A2" s="9" t="s">
        <v>46</v>
      </c>
      <c r="B2" s="9" t="s">
        <v>47</v>
      </c>
      <c r="C2" s="9" t="s">
        <v>48</v>
      </c>
      <c r="D2" s="9" t="s">
        <v>49</v>
      </c>
      <c r="E2" s="9" t="s">
        <v>50</v>
      </c>
      <c r="F2" s="9" t="s">
        <v>51</v>
      </c>
      <c r="G2" s="9" t="s">
        <v>52</v>
      </c>
      <c r="H2" s="9" t="s">
        <v>53</v>
      </c>
      <c r="I2" s="9" t="s">
        <v>54</v>
      </c>
      <c r="J2" s="9" t="s">
        <v>55</v>
      </c>
      <c r="K2" s="9" t="s">
        <v>56</v>
      </c>
    </row>
    <row r="3" spans="1:11" ht="16.5" customHeight="1" x14ac:dyDescent="0.25">
      <c r="A3" s="31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28.5" customHeight="1" x14ac:dyDescent="0.25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2" t="s">
        <v>32</v>
      </c>
      <c r="G4" s="1" t="s">
        <v>63</v>
      </c>
      <c r="H4" s="3" t="s">
        <v>64</v>
      </c>
      <c r="I4" s="1"/>
      <c r="J4" s="1"/>
      <c r="K4" s="1"/>
    </row>
    <row r="5" spans="1:11" ht="29.25" customHeight="1" x14ac:dyDescent="0.25">
      <c r="A5" s="5" t="s">
        <v>65</v>
      </c>
      <c r="B5" s="5" t="s">
        <v>59</v>
      </c>
      <c r="C5" s="5" t="s">
        <v>66</v>
      </c>
      <c r="D5" s="5" t="s">
        <v>67</v>
      </c>
      <c r="E5" s="5" t="s">
        <v>68</v>
      </c>
      <c r="F5" s="6" t="s">
        <v>32</v>
      </c>
      <c r="G5" s="5" t="s">
        <v>69</v>
      </c>
      <c r="H5" s="3" t="s">
        <v>64</v>
      </c>
      <c r="I5" s="5"/>
      <c r="J5" s="5"/>
      <c r="K5" s="5"/>
    </row>
    <row r="6" spans="1:11" ht="29.25" customHeight="1" x14ac:dyDescent="0.25">
      <c r="A6" s="1" t="s">
        <v>70</v>
      </c>
      <c r="B6" s="1" t="s">
        <v>59</v>
      </c>
      <c r="C6" s="1" t="s">
        <v>71</v>
      </c>
      <c r="D6" s="1" t="s">
        <v>72</v>
      </c>
      <c r="E6" s="1" t="s">
        <v>73</v>
      </c>
      <c r="F6" s="2" t="s">
        <v>32</v>
      </c>
      <c r="G6" s="1" t="s">
        <v>74</v>
      </c>
      <c r="H6" s="3" t="s">
        <v>64</v>
      </c>
      <c r="I6" s="1"/>
      <c r="J6" s="1"/>
      <c r="K6" s="1"/>
    </row>
    <row r="7" spans="1:11" ht="29.25" customHeight="1" x14ac:dyDescent="0.25">
      <c r="A7" s="5" t="s">
        <v>75</v>
      </c>
      <c r="B7" s="5" t="s">
        <v>59</v>
      </c>
      <c r="C7" s="5" t="s">
        <v>76</v>
      </c>
      <c r="D7" s="5" t="s">
        <v>77</v>
      </c>
      <c r="E7" s="5" t="s">
        <v>78</v>
      </c>
      <c r="F7" s="7" t="s">
        <v>34</v>
      </c>
      <c r="G7" s="5" t="s">
        <v>79</v>
      </c>
      <c r="H7" s="3" t="s">
        <v>64</v>
      </c>
      <c r="I7" s="5"/>
      <c r="J7" s="5"/>
      <c r="K7" s="5"/>
    </row>
    <row r="8" spans="1:11" ht="29.25" customHeight="1" x14ac:dyDescent="0.25">
      <c r="A8" s="1" t="s">
        <v>80</v>
      </c>
      <c r="B8" s="1" t="s">
        <v>59</v>
      </c>
      <c r="C8" s="1" t="s">
        <v>81</v>
      </c>
      <c r="D8" s="1" t="s">
        <v>82</v>
      </c>
      <c r="E8" s="1" t="s">
        <v>83</v>
      </c>
      <c r="F8" s="2" t="s">
        <v>32</v>
      </c>
      <c r="G8" s="1" t="s">
        <v>84</v>
      </c>
      <c r="H8" s="3" t="s">
        <v>64</v>
      </c>
      <c r="I8" s="1"/>
      <c r="J8" s="1"/>
      <c r="K8" s="1"/>
    </row>
    <row r="9" spans="1:11" ht="29.25" customHeight="1" x14ac:dyDescent="0.25">
      <c r="A9" s="5" t="s">
        <v>85</v>
      </c>
      <c r="B9" s="5" t="s">
        <v>59</v>
      </c>
      <c r="C9" s="5" t="s">
        <v>86</v>
      </c>
      <c r="D9" s="5" t="s">
        <v>87</v>
      </c>
      <c r="E9" s="5" t="s">
        <v>88</v>
      </c>
      <c r="F9" s="6" t="s">
        <v>32</v>
      </c>
      <c r="G9" s="5" t="s">
        <v>89</v>
      </c>
      <c r="H9" s="3" t="s">
        <v>64</v>
      </c>
      <c r="I9" s="5"/>
      <c r="J9" s="5"/>
      <c r="K9" s="5"/>
    </row>
    <row r="10" spans="1:11" ht="29.25" customHeight="1" x14ac:dyDescent="0.25">
      <c r="A10" s="1" t="s">
        <v>90</v>
      </c>
      <c r="B10" s="1" t="s">
        <v>59</v>
      </c>
      <c r="C10" s="1" t="s">
        <v>91</v>
      </c>
      <c r="D10" s="1" t="s">
        <v>92</v>
      </c>
      <c r="E10" s="1" t="s">
        <v>93</v>
      </c>
      <c r="F10" s="8" t="s">
        <v>34</v>
      </c>
      <c r="G10" s="1" t="s">
        <v>94</v>
      </c>
      <c r="H10" s="3" t="s">
        <v>64</v>
      </c>
      <c r="I10" s="1"/>
      <c r="J10" s="1"/>
      <c r="K10" s="1"/>
    </row>
    <row r="11" spans="1:11" ht="29.25" customHeight="1" x14ac:dyDescent="0.25">
      <c r="A11" s="5" t="s">
        <v>95</v>
      </c>
      <c r="B11" s="5" t="s">
        <v>59</v>
      </c>
      <c r="C11" s="5" t="s">
        <v>96</v>
      </c>
      <c r="D11" s="5" t="s">
        <v>97</v>
      </c>
      <c r="E11" s="5" t="s">
        <v>98</v>
      </c>
      <c r="F11" s="6" t="s">
        <v>32</v>
      </c>
      <c r="G11" s="5" t="s">
        <v>84</v>
      </c>
      <c r="H11" s="3" t="s">
        <v>64</v>
      </c>
      <c r="I11" s="5"/>
      <c r="J11" s="5"/>
      <c r="K11" s="5"/>
    </row>
    <row r="12" spans="1:11" ht="16.5" customHeight="1" x14ac:dyDescent="0.25">
      <c r="A12" s="25" t="s">
        <v>99</v>
      </c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20.25" customHeight="1" x14ac:dyDescent="0.25">
      <c r="A13" s="1" t="s">
        <v>100</v>
      </c>
      <c r="B13" s="1" t="s">
        <v>101</v>
      </c>
      <c r="C13" s="1" t="s">
        <v>102</v>
      </c>
      <c r="D13" s="1" t="s">
        <v>103</v>
      </c>
      <c r="E13" s="1" t="s">
        <v>104</v>
      </c>
      <c r="F13" s="2" t="s">
        <v>32</v>
      </c>
      <c r="G13" s="1" t="s">
        <v>105</v>
      </c>
      <c r="H13" s="3" t="s">
        <v>64</v>
      </c>
      <c r="I13" s="1"/>
      <c r="J13" s="1"/>
      <c r="K13" s="1"/>
    </row>
    <row r="14" spans="1:11" ht="28.5" customHeight="1" x14ac:dyDescent="0.25">
      <c r="A14" s="5" t="s">
        <v>106</v>
      </c>
      <c r="B14" s="5" t="s">
        <v>101</v>
      </c>
      <c r="C14" s="5" t="s">
        <v>107</v>
      </c>
      <c r="D14" s="5" t="s">
        <v>108</v>
      </c>
      <c r="E14" s="5" t="s">
        <v>109</v>
      </c>
      <c r="F14" s="6" t="s">
        <v>32</v>
      </c>
      <c r="G14" s="5" t="s">
        <v>110</v>
      </c>
      <c r="H14" s="3" t="s">
        <v>64</v>
      </c>
      <c r="I14" s="5"/>
      <c r="J14" s="5"/>
      <c r="K14" s="5"/>
    </row>
    <row r="15" spans="1:11" ht="15" customHeight="1" x14ac:dyDescent="0.25">
      <c r="A15" s="1" t="s">
        <v>111</v>
      </c>
      <c r="B15" s="1" t="s">
        <v>101</v>
      </c>
      <c r="C15" s="1" t="s">
        <v>112</v>
      </c>
      <c r="D15" s="1" t="s">
        <v>113</v>
      </c>
      <c r="E15" s="1" t="s">
        <v>114</v>
      </c>
      <c r="F15" s="2" t="s">
        <v>32</v>
      </c>
      <c r="G15" s="1" t="s">
        <v>110</v>
      </c>
      <c r="H15" s="3" t="s">
        <v>64</v>
      </c>
      <c r="I15" s="1"/>
      <c r="J15" s="1"/>
      <c r="K15" s="1"/>
    </row>
    <row r="16" spans="1:11" x14ac:dyDescent="0.25">
      <c r="A16" s="5" t="s">
        <v>115</v>
      </c>
      <c r="B16" s="5" t="s">
        <v>101</v>
      </c>
      <c r="C16" s="5" t="s">
        <v>116</v>
      </c>
      <c r="D16" s="5" t="s">
        <v>117</v>
      </c>
      <c r="E16" s="5" t="s">
        <v>118</v>
      </c>
      <c r="F16" s="6" t="s">
        <v>32</v>
      </c>
      <c r="G16" s="5" t="s">
        <v>105</v>
      </c>
      <c r="H16" s="3" t="s">
        <v>64</v>
      </c>
      <c r="I16" s="5"/>
      <c r="J16" s="5"/>
      <c r="K16" s="5"/>
    </row>
    <row r="17" spans="1:11" ht="15" customHeight="1" x14ac:dyDescent="0.25">
      <c r="A17" s="1" t="s">
        <v>119</v>
      </c>
      <c r="B17" s="1" t="s">
        <v>101</v>
      </c>
      <c r="C17" s="1" t="s">
        <v>120</v>
      </c>
      <c r="D17" s="1" t="s">
        <v>121</v>
      </c>
      <c r="E17" s="1" t="s">
        <v>122</v>
      </c>
      <c r="F17" s="2" t="s">
        <v>32</v>
      </c>
      <c r="G17" s="1" t="s">
        <v>123</v>
      </c>
      <c r="H17" s="3" t="s">
        <v>64</v>
      </c>
      <c r="I17" s="1"/>
      <c r="J17" s="1"/>
      <c r="K17" s="1"/>
    </row>
    <row r="18" spans="1:11" ht="29.25" customHeight="1" x14ac:dyDescent="0.25">
      <c r="A18" s="5" t="s">
        <v>124</v>
      </c>
      <c r="B18" s="5" t="s">
        <v>101</v>
      </c>
      <c r="C18" s="5" t="s">
        <v>125</v>
      </c>
      <c r="D18" s="5" t="s">
        <v>126</v>
      </c>
      <c r="E18" s="5" t="s">
        <v>127</v>
      </c>
      <c r="F18" s="6" t="s">
        <v>32</v>
      </c>
      <c r="G18" s="5" t="s">
        <v>128</v>
      </c>
      <c r="H18" s="3" t="s">
        <v>64</v>
      </c>
      <c r="I18" s="5"/>
      <c r="J18" s="5"/>
      <c r="K18" s="5"/>
    </row>
    <row r="19" spans="1:11" ht="15" customHeight="1" x14ac:dyDescent="0.25">
      <c r="A19" s="1" t="s">
        <v>129</v>
      </c>
      <c r="B19" s="1" t="s">
        <v>101</v>
      </c>
      <c r="C19" s="1" t="s">
        <v>130</v>
      </c>
      <c r="D19" s="1" t="s">
        <v>131</v>
      </c>
      <c r="E19" s="1" t="s">
        <v>132</v>
      </c>
      <c r="F19" s="8" t="s">
        <v>34</v>
      </c>
      <c r="G19" s="1" t="s">
        <v>105</v>
      </c>
      <c r="H19" s="3" t="s">
        <v>64</v>
      </c>
      <c r="I19" s="1"/>
      <c r="J19" s="1"/>
      <c r="K19" s="1"/>
    </row>
    <row r="20" spans="1:11" ht="29.25" customHeight="1" x14ac:dyDescent="0.25">
      <c r="A20" s="5" t="s">
        <v>133</v>
      </c>
      <c r="B20" s="5" t="s">
        <v>101</v>
      </c>
      <c r="C20" s="5" t="s">
        <v>134</v>
      </c>
      <c r="D20" s="5" t="s">
        <v>135</v>
      </c>
      <c r="E20" s="5" t="s">
        <v>136</v>
      </c>
      <c r="F20" s="6" t="s">
        <v>32</v>
      </c>
      <c r="G20" s="5" t="s">
        <v>137</v>
      </c>
      <c r="H20" s="3" t="s">
        <v>64</v>
      </c>
      <c r="I20" s="5"/>
      <c r="J20" s="5"/>
      <c r="K20" s="5"/>
    </row>
    <row r="21" spans="1:11" ht="29.25" customHeight="1" x14ac:dyDescent="0.25">
      <c r="A21" s="1" t="s">
        <v>138</v>
      </c>
      <c r="B21" s="1" t="s">
        <v>101</v>
      </c>
      <c r="C21" s="1" t="s">
        <v>139</v>
      </c>
      <c r="D21" s="1" t="s">
        <v>140</v>
      </c>
      <c r="E21" s="1" t="s">
        <v>141</v>
      </c>
      <c r="F21" s="8" t="s">
        <v>34</v>
      </c>
      <c r="G21" s="1" t="s">
        <v>105</v>
      </c>
      <c r="H21" s="3" t="s">
        <v>64</v>
      </c>
      <c r="I21" s="1"/>
      <c r="J21" s="1"/>
      <c r="K21" s="1"/>
    </row>
    <row r="22" spans="1:11" ht="28.5" customHeight="1" x14ac:dyDescent="0.25">
      <c r="A22" s="5" t="s">
        <v>142</v>
      </c>
      <c r="B22" s="5" t="s">
        <v>101</v>
      </c>
      <c r="C22" s="5" t="s">
        <v>143</v>
      </c>
      <c r="D22" s="5" t="s">
        <v>144</v>
      </c>
      <c r="E22" s="5" t="s">
        <v>145</v>
      </c>
      <c r="F22" s="7" t="s">
        <v>145</v>
      </c>
      <c r="G22" s="5" t="s">
        <v>146</v>
      </c>
      <c r="H22" s="3" t="s">
        <v>145</v>
      </c>
      <c r="I22" s="5"/>
      <c r="J22" s="5"/>
      <c r="K22" s="5"/>
    </row>
    <row r="23" spans="1:11" ht="16.5" customHeight="1" x14ac:dyDescent="0.25">
      <c r="A23" s="25" t="s">
        <v>147</v>
      </c>
      <c r="B23" s="26"/>
      <c r="C23" s="26"/>
      <c r="D23" s="26"/>
      <c r="E23" s="26"/>
      <c r="F23" s="26"/>
      <c r="G23" s="26"/>
      <c r="H23" s="26"/>
      <c r="I23" s="26"/>
      <c r="J23" s="26"/>
      <c r="K23" s="27"/>
    </row>
    <row r="24" spans="1:11" ht="29.25" customHeight="1" x14ac:dyDescent="0.25">
      <c r="A24" s="1" t="s">
        <v>148</v>
      </c>
      <c r="B24" s="1" t="s">
        <v>149</v>
      </c>
      <c r="C24" s="1" t="s">
        <v>150</v>
      </c>
      <c r="D24" s="1" t="s">
        <v>151</v>
      </c>
      <c r="E24" s="1" t="s">
        <v>152</v>
      </c>
      <c r="F24" s="2" t="s">
        <v>32</v>
      </c>
      <c r="G24" s="1" t="s">
        <v>153</v>
      </c>
      <c r="H24" s="3" t="s">
        <v>64</v>
      </c>
      <c r="I24" s="1"/>
      <c r="J24" s="1"/>
      <c r="K24" s="1"/>
    </row>
    <row r="25" spans="1:11" ht="26.25" customHeight="1" x14ac:dyDescent="0.25">
      <c r="A25" s="5" t="s">
        <v>154</v>
      </c>
      <c r="B25" s="5" t="s">
        <v>149</v>
      </c>
      <c r="C25" s="5" t="s">
        <v>155</v>
      </c>
      <c r="D25" s="5" t="s">
        <v>156</v>
      </c>
      <c r="E25" s="5" t="s">
        <v>157</v>
      </c>
      <c r="F25" s="6" t="s">
        <v>32</v>
      </c>
      <c r="G25" s="5" t="s">
        <v>158</v>
      </c>
      <c r="H25" s="3" t="s">
        <v>64</v>
      </c>
      <c r="I25" s="5"/>
      <c r="J25" s="5"/>
      <c r="K25" s="5"/>
    </row>
    <row r="26" spans="1:11" ht="15" customHeight="1" x14ac:dyDescent="0.25">
      <c r="A26" s="1" t="s">
        <v>159</v>
      </c>
      <c r="B26" s="1" t="s">
        <v>149</v>
      </c>
      <c r="C26" s="1" t="s">
        <v>160</v>
      </c>
      <c r="D26" s="1" t="s">
        <v>161</v>
      </c>
      <c r="E26" s="1" t="s">
        <v>162</v>
      </c>
      <c r="F26" s="2" t="s">
        <v>32</v>
      </c>
      <c r="G26" s="1" t="s">
        <v>163</v>
      </c>
      <c r="H26" s="3" t="s">
        <v>64</v>
      </c>
      <c r="I26" s="1"/>
      <c r="J26" s="1"/>
      <c r="K26" s="1"/>
    </row>
    <row r="27" spans="1:11" ht="26.25" customHeight="1" x14ac:dyDescent="0.25">
      <c r="A27" s="5" t="s">
        <v>164</v>
      </c>
      <c r="B27" s="5" t="s">
        <v>149</v>
      </c>
      <c r="C27" s="5" t="s">
        <v>165</v>
      </c>
      <c r="D27" s="5" t="s">
        <v>166</v>
      </c>
      <c r="E27" s="5" t="s">
        <v>167</v>
      </c>
      <c r="F27" s="6" t="s">
        <v>32</v>
      </c>
      <c r="G27" s="5" t="s">
        <v>168</v>
      </c>
      <c r="H27" s="3" t="s">
        <v>64</v>
      </c>
      <c r="I27" s="5"/>
      <c r="J27" s="5"/>
      <c r="K27" s="5"/>
    </row>
    <row r="28" spans="1:11" ht="15" customHeight="1" x14ac:dyDescent="0.25">
      <c r="A28" s="1" t="s">
        <v>169</v>
      </c>
      <c r="B28" s="1" t="s">
        <v>149</v>
      </c>
      <c r="C28" s="1" t="s">
        <v>170</v>
      </c>
      <c r="D28" s="1" t="s">
        <v>171</v>
      </c>
      <c r="E28" s="1" t="s">
        <v>172</v>
      </c>
      <c r="F28" s="2" t="s">
        <v>32</v>
      </c>
      <c r="G28" s="1" t="s">
        <v>173</v>
      </c>
      <c r="H28" s="3" t="s">
        <v>64</v>
      </c>
      <c r="I28" s="1"/>
      <c r="J28" s="1"/>
      <c r="K28" s="1"/>
    </row>
    <row r="29" spans="1:11" ht="15" customHeight="1" x14ac:dyDescent="0.25">
      <c r="A29" s="5" t="s">
        <v>174</v>
      </c>
      <c r="B29" s="5" t="s">
        <v>149</v>
      </c>
      <c r="C29" s="5" t="s">
        <v>175</v>
      </c>
      <c r="D29" s="5" t="s">
        <v>176</v>
      </c>
      <c r="E29" s="5" t="s">
        <v>177</v>
      </c>
      <c r="F29" s="6" t="s">
        <v>32</v>
      </c>
      <c r="G29" s="5" t="s">
        <v>178</v>
      </c>
      <c r="H29" s="3" t="s">
        <v>64</v>
      </c>
      <c r="I29" s="5"/>
      <c r="J29" s="5"/>
      <c r="K29" s="5"/>
    </row>
    <row r="30" spans="1:11" ht="16.5" customHeight="1" x14ac:dyDescent="0.25">
      <c r="A30" s="25" t="s">
        <v>179</v>
      </c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5" customHeight="1" x14ac:dyDescent="0.25">
      <c r="A31" s="1" t="s">
        <v>180</v>
      </c>
      <c r="B31" s="1" t="s">
        <v>181</v>
      </c>
      <c r="C31" s="1" t="s">
        <v>182</v>
      </c>
      <c r="D31" s="1" t="s">
        <v>183</v>
      </c>
      <c r="E31" s="1" t="s">
        <v>184</v>
      </c>
      <c r="F31" s="2" t="s">
        <v>32</v>
      </c>
      <c r="G31" s="1" t="s">
        <v>185</v>
      </c>
      <c r="H31" s="3" t="s">
        <v>64</v>
      </c>
      <c r="I31" s="1"/>
      <c r="J31" s="1"/>
      <c r="K31" s="1"/>
    </row>
    <row r="32" spans="1:11" ht="29.25" customHeight="1" x14ac:dyDescent="0.25">
      <c r="A32" s="5" t="s">
        <v>186</v>
      </c>
      <c r="B32" s="5" t="s">
        <v>181</v>
      </c>
      <c r="C32" s="5" t="s">
        <v>187</v>
      </c>
      <c r="D32" s="5" t="s">
        <v>188</v>
      </c>
      <c r="E32" s="5" t="s">
        <v>189</v>
      </c>
      <c r="F32" s="6" t="s">
        <v>32</v>
      </c>
      <c r="G32" s="5" t="s">
        <v>190</v>
      </c>
      <c r="H32" s="3" t="s">
        <v>64</v>
      </c>
      <c r="I32" s="5"/>
      <c r="J32" s="5"/>
      <c r="K32" s="5"/>
    </row>
    <row r="33" spans="1:11" ht="15" customHeight="1" x14ac:dyDescent="0.25">
      <c r="A33" s="1" t="s">
        <v>191</v>
      </c>
      <c r="B33" s="1" t="s">
        <v>181</v>
      </c>
      <c r="C33" s="1" t="s">
        <v>192</v>
      </c>
      <c r="D33" s="1" t="s">
        <v>193</v>
      </c>
      <c r="E33" s="1" t="s">
        <v>194</v>
      </c>
      <c r="F33" s="2" t="s">
        <v>32</v>
      </c>
      <c r="G33" s="1" t="s">
        <v>195</v>
      </c>
      <c r="H33" s="3" t="s">
        <v>64</v>
      </c>
      <c r="I33" s="1"/>
      <c r="J33" s="1"/>
      <c r="K33" s="1"/>
    </row>
    <row r="34" spans="1:11" ht="15" customHeight="1" x14ac:dyDescent="0.25">
      <c r="A34" s="5" t="s">
        <v>196</v>
      </c>
      <c r="B34" s="5" t="s">
        <v>181</v>
      </c>
      <c r="C34" s="5" t="s">
        <v>197</v>
      </c>
      <c r="D34" s="5" t="s">
        <v>198</v>
      </c>
      <c r="E34" s="5" t="s">
        <v>199</v>
      </c>
      <c r="F34" s="6" t="s">
        <v>32</v>
      </c>
      <c r="G34" s="5" t="s">
        <v>200</v>
      </c>
      <c r="H34" s="3" t="s">
        <v>64</v>
      </c>
      <c r="I34" s="5"/>
      <c r="J34" s="5"/>
      <c r="K34" s="5"/>
    </row>
    <row r="35" spans="1:11" ht="15" customHeight="1" x14ac:dyDescent="0.25">
      <c r="A35" s="1" t="s">
        <v>201</v>
      </c>
      <c r="B35" s="1" t="s">
        <v>181</v>
      </c>
      <c r="C35" s="1" t="s">
        <v>202</v>
      </c>
      <c r="D35" s="1" t="s">
        <v>203</v>
      </c>
      <c r="E35" s="1" t="s">
        <v>204</v>
      </c>
      <c r="F35" s="8" t="s">
        <v>34</v>
      </c>
      <c r="G35" s="1" t="s">
        <v>205</v>
      </c>
      <c r="H35" s="3" t="s">
        <v>64</v>
      </c>
      <c r="I35" s="1"/>
      <c r="J35" s="1"/>
      <c r="K35" s="1"/>
    </row>
    <row r="36" spans="1:11" ht="16.5" customHeight="1" x14ac:dyDescent="0.25">
      <c r="A36" s="25" t="s">
        <v>206</v>
      </c>
      <c r="B36" s="26"/>
      <c r="C36" s="26"/>
      <c r="D36" s="26"/>
      <c r="E36" s="26"/>
      <c r="F36" s="26"/>
      <c r="G36" s="26"/>
      <c r="H36" s="26"/>
      <c r="I36" s="26"/>
      <c r="J36" s="26"/>
      <c r="K36" s="27"/>
    </row>
    <row r="37" spans="1:11" ht="29.25" customHeight="1" x14ac:dyDescent="0.25">
      <c r="A37" s="1" t="s">
        <v>207</v>
      </c>
      <c r="B37" s="1" t="s">
        <v>208</v>
      </c>
      <c r="C37" s="1" t="s">
        <v>209</v>
      </c>
      <c r="D37" s="1" t="s">
        <v>210</v>
      </c>
      <c r="E37" s="1" t="s">
        <v>211</v>
      </c>
      <c r="F37" s="2" t="s">
        <v>32</v>
      </c>
      <c r="G37" s="1" t="s">
        <v>212</v>
      </c>
      <c r="H37" s="3" t="s">
        <v>64</v>
      </c>
      <c r="I37" s="1"/>
      <c r="J37" s="1"/>
      <c r="K37" s="1"/>
    </row>
    <row r="38" spans="1:11" ht="29.25" customHeight="1" x14ac:dyDescent="0.25">
      <c r="A38" s="5" t="s">
        <v>213</v>
      </c>
      <c r="B38" s="5" t="s">
        <v>208</v>
      </c>
      <c r="C38" s="5" t="s">
        <v>214</v>
      </c>
      <c r="D38" s="5" t="s">
        <v>215</v>
      </c>
      <c r="E38" s="5" t="s">
        <v>216</v>
      </c>
      <c r="F38" s="7" t="s">
        <v>34</v>
      </c>
      <c r="G38" s="5" t="s">
        <v>212</v>
      </c>
      <c r="H38" s="3" t="s">
        <v>64</v>
      </c>
      <c r="I38" s="5"/>
      <c r="J38" s="5"/>
      <c r="K38" s="5"/>
    </row>
    <row r="39" spans="1:11" ht="29.25" customHeight="1" x14ac:dyDescent="0.25">
      <c r="A39" s="1" t="s">
        <v>217</v>
      </c>
      <c r="B39" s="1" t="s">
        <v>208</v>
      </c>
      <c r="C39" s="1" t="s">
        <v>218</v>
      </c>
      <c r="D39" s="1" t="s">
        <v>219</v>
      </c>
      <c r="E39" s="1" t="s">
        <v>220</v>
      </c>
      <c r="F39" s="8" t="s">
        <v>34</v>
      </c>
      <c r="G39" s="1" t="s">
        <v>221</v>
      </c>
      <c r="H39" s="3" t="s">
        <v>64</v>
      </c>
      <c r="I39" s="1"/>
      <c r="J39" s="1"/>
      <c r="K39" s="1"/>
    </row>
    <row r="40" spans="1:11" ht="43.5" customHeight="1" x14ac:dyDescent="0.25">
      <c r="A40" s="5" t="s">
        <v>222</v>
      </c>
      <c r="B40" s="5" t="s">
        <v>208</v>
      </c>
      <c r="C40" s="5" t="s">
        <v>223</v>
      </c>
      <c r="D40" s="5" t="s">
        <v>224</v>
      </c>
      <c r="E40" s="5" t="s">
        <v>225</v>
      </c>
      <c r="F40" s="6" t="s">
        <v>32</v>
      </c>
      <c r="G40" s="5" t="s">
        <v>226</v>
      </c>
      <c r="H40" s="3" t="s">
        <v>64</v>
      </c>
      <c r="I40" s="5"/>
      <c r="J40" s="5"/>
      <c r="K40" s="5"/>
    </row>
    <row r="41" spans="1:11" ht="16.5" customHeight="1" x14ac:dyDescent="0.25">
      <c r="A41" s="25" t="s">
        <v>227</v>
      </c>
      <c r="B41" s="26"/>
      <c r="C41" s="26"/>
      <c r="D41" s="26"/>
      <c r="E41" s="26"/>
      <c r="F41" s="26"/>
      <c r="G41" s="26"/>
      <c r="H41" s="26"/>
      <c r="I41" s="26"/>
      <c r="J41" s="26"/>
      <c r="K41" s="27"/>
    </row>
    <row r="42" spans="1:11" ht="29.25" customHeight="1" x14ac:dyDescent="0.25">
      <c r="A42" s="1" t="s">
        <v>228</v>
      </c>
      <c r="B42" s="1" t="s">
        <v>229</v>
      </c>
      <c r="C42" s="1" t="s">
        <v>230</v>
      </c>
      <c r="D42" s="1" t="s">
        <v>231</v>
      </c>
      <c r="E42" s="1" t="s">
        <v>232</v>
      </c>
      <c r="F42" s="2" t="s">
        <v>32</v>
      </c>
      <c r="G42" s="1" t="s">
        <v>233</v>
      </c>
      <c r="H42" s="3" t="s">
        <v>64</v>
      </c>
      <c r="I42" s="1"/>
      <c r="J42" s="1"/>
      <c r="K42" s="1"/>
    </row>
    <row r="43" spans="1:11" ht="29.25" customHeight="1" x14ac:dyDescent="0.25">
      <c r="A43" s="5" t="s">
        <v>234</v>
      </c>
      <c r="B43" s="5" t="s">
        <v>229</v>
      </c>
      <c r="C43" s="5" t="s">
        <v>235</v>
      </c>
      <c r="D43" s="5" t="s">
        <v>236</v>
      </c>
      <c r="E43" s="5" t="s">
        <v>237</v>
      </c>
      <c r="F43" s="6" t="s">
        <v>32</v>
      </c>
      <c r="G43" s="5" t="s">
        <v>238</v>
      </c>
      <c r="H43" s="3" t="s">
        <v>64</v>
      </c>
      <c r="I43" s="5"/>
      <c r="J43" s="5"/>
      <c r="K43" s="5"/>
    </row>
    <row r="44" spans="1:11" ht="29.25" customHeight="1" x14ac:dyDescent="0.25">
      <c r="A44" s="1" t="s">
        <v>239</v>
      </c>
      <c r="B44" s="1" t="s">
        <v>229</v>
      </c>
      <c r="C44" s="1" t="s">
        <v>240</v>
      </c>
      <c r="D44" s="1" t="s">
        <v>241</v>
      </c>
      <c r="E44" s="1" t="s">
        <v>242</v>
      </c>
      <c r="F44" s="2" t="s">
        <v>32</v>
      </c>
      <c r="G44" s="1" t="s">
        <v>243</v>
      </c>
      <c r="H44" s="3" t="s">
        <v>64</v>
      </c>
      <c r="I44" s="1"/>
      <c r="J44" s="1"/>
      <c r="K44" s="1"/>
    </row>
    <row r="45" spans="1:11" ht="29.25" customHeight="1" x14ac:dyDescent="0.25">
      <c r="A45" s="5" t="s">
        <v>244</v>
      </c>
      <c r="B45" s="5" t="s">
        <v>229</v>
      </c>
      <c r="C45" s="5" t="s">
        <v>245</v>
      </c>
      <c r="D45" s="5" t="s">
        <v>246</v>
      </c>
      <c r="E45" s="5" t="s">
        <v>247</v>
      </c>
      <c r="F45" s="7" t="s">
        <v>34</v>
      </c>
      <c r="G45" s="5" t="s">
        <v>248</v>
      </c>
      <c r="H45" s="3" t="s">
        <v>64</v>
      </c>
      <c r="I45" s="5"/>
      <c r="J45" s="5"/>
      <c r="K45" s="5"/>
    </row>
    <row r="46" spans="1:11" ht="15" customHeight="1" x14ac:dyDescent="0.25">
      <c r="A46" s="1" t="s">
        <v>249</v>
      </c>
      <c r="B46" s="1" t="s">
        <v>229</v>
      </c>
      <c r="C46" s="1" t="s">
        <v>250</v>
      </c>
      <c r="D46" s="1" t="s">
        <v>251</v>
      </c>
      <c r="E46" s="1" t="s">
        <v>252</v>
      </c>
      <c r="F46" s="2" t="s">
        <v>32</v>
      </c>
      <c r="G46" s="1" t="s">
        <v>253</v>
      </c>
      <c r="H46" s="3" t="s">
        <v>64</v>
      </c>
      <c r="I46" s="1"/>
      <c r="J46" s="1"/>
      <c r="K46" s="1"/>
    </row>
    <row r="47" spans="1:11" ht="29.25" customHeight="1" x14ac:dyDescent="0.25">
      <c r="A47" s="5" t="s">
        <v>254</v>
      </c>
      <c r="B47" s="5" t="s">
        <v>229</v>
      </c>
      <c r="C47" s="5" t="s">
        <v>255</v>
      </c>
      <c r="D47" s="5" t="s">
        <v>256</v>
      </c>
      <c r="E47" s="5" t="s">
        <v>257</v>
      </c>
      <c r="F47" s="6" t="s">
        <v>32</v>
      </c>
      <c r="G47" s="5" t="s">
        <v>258</v>
      </c>
      <c r="H47" s="3" t="s">
        <v>64</v>
      </c>
      <c r="I47" s="5"/>
      <c r="J47" s="5"/>
      <c r="K47" s="5"/>
    </row>
    <row r="48" spans="1:11" ht="29.25" customHeight="1" x14ac:dyDescent="0.25">
      <c r="A48" s="1" t="s">
        <v>259</v>
      </c>
      <c r="B48" s="1" t="s">
        <v>229</v>
      </c>
      <c r="C48" s="1" t="s">
        <v>260</v>
      </c>
      <c r="D48" s="1" t="s">
        <v>261</v>
      </c>
      <c r="E48" s="1" t="s">
        <v>262</v>
      </c>
      <c r="F48" s="8" t="s">
        <v>34</v>
      </c>
      <c r="G48" s="1" t="s">
        <v>263</v>
      </c>
      <c r="H48" s="3" t="s">
        <v>64</v>
      </c>
      <c r="I48" s="1"/>
      <c r="J48" s="1"/>
      <c r="K48" s="1"/>
    </row>
    <row r="49" spans="1:11" ht="29.25" customHeight="1" x14ac:dyDescent="0.25">
      <c r="A49" s="5" t="s">
        <v>264</v>
      </c>
      <c r="B49" s="5" t="s">
        <v>229</v>
      </c>
      <c r="C49" s="5" t="s">
        <v>265</v>
      </c>
      <c r="D49" s="5" t="s">
        <v>266</v>
      </c>
      <c r="E49" s="5" t="s">
        <v>267</v>
      </c>
      <c r="F49" s="6" t="s">
        <v>32</v>
      </c>
      <c r="G49" s="5" t="s">
        <v>268</v>
      </c>
      <c r="H49" s="3" t="s">
        <v>64</v>
      </c>
      <c r="I49" s="5"/>
      <c r="J49" s="5"/>
      <c r="K49" s="5"/>
    </row>
    <row r="50" spans="1:11" ht="16.5" customHeight="1" x14ac:dyDescent="0.25">
      <c r="A50" s="25" t="s">
        <v>269</v>
      </c>
      <c r="B50" s="26"/>
      <c r="C50" s="26"/>
      <c r="D50" s="26"/>
      <c r="E50" s="26"/>
      <c r="F50" s="26"/>
      <c r="G50" s="26"/>
      <c r="H50" s="26"/>
      <c r="I50" s="26"/>
      <c r="J50" s="26"/>
      <c r="K50" s="27"/>
    </row>
    <row r="51" spans="1:11" ht="15" customHeight="1" x14ac:dyDescent="0.25">
      <c r="A51" s="1" t="s">
        <v>270</v>
      </c>
      <c r="B51" s="1" t="s">
        <v>271</v>
      </c>
      <c r="C51" s="1" t="s">
        <v>272</v>
      </c>
      <c r="D51" s="1" t="s">
        <v>273</v>
      </c>
      <c r="E51" s="1" t="s">
        <v>274</v>
      </c>
      <c r="F51" s="2" t="s">
        <v>32</v>
      </c>
      <c r="G51" s="1" t="s">
        <v>253</v>
      </c>
      <c r="H51" s="3" t="s">
        <v>64</v>
      </c>
      <c r="I51" s="1"/>
      <c r="J51" s="1"/>
      <c r="K51" s="1"/>
    </row>
    <row r="52" spans="1:11" ht="43.5" customHeight="1" x14ac:dyDescent="0.25">
      <c r="A52" s="5" t="s">
        <v>275</v>
      </c>
      <c r="B52" s="5" t="s">
        <v>271</v>
      </c>
      <c r="C52" s="5" t="s">
        <v>276</v>
      </c>
      <c r="D52" s="5" t="s">
        <v>277</v>
      </c>
      <c r="E52" s="5" t="s">
        <v>278</v>
      </c>
      <c r="F52" s="6" t="s">
        <v>32</v>
      </c>
      <c r="G52" s="5" t="s">
        <v>279</v>
      </c>
      <c r="H52" s="3" t="s">
        <v>64</v>
      </c>
      <c r="I52" s="5"/>
      <c r="J52" s="5"/>
      <c r="K52" s="5"/>
    </row>
    <row r="53" spans="1:11" ht="29.25" customHeight="1" x14ac:dyDescent="0.25">
      <c r="A53" s="1" t="s">
        <v>280</v>
      </c>
      <c r="B53" s="1" t="s">
        <v>271</v>
      </c>
      <c r="C53" s="1" t="s">
        <v>281</v>
      </c>
      <c r="D53" s="1" t="s">
        <v>282</v>
      </c>
      <c r="E53" s="1" t="s">
        <v>283</v>
      </c>
      <c r="F53" s="8" t="s">
        <v>34</v>
      </c>
      <c r="G53" s="1" t="s">
        <v>284</v>
      </c>
      <c r="H53" s="3" t="s">
        <v>64</v>
      </c>
      <c r="I53" s="1"/>
      <c r="J53" s="1"/>
      <c r="K53" s="1"/>
    </row>
    <row r="54" spans="1:11" ht="29.25" customHeight="1" x14ac:dyDescent="0.25">
      <c r="A54" s="5" t="s">
        <v>285</v>
      </c>
      <c r="B54" s="5" t="s">
        <v>271</v>
      </c>
      <c r="C54" s="5" t="s">
        <v>286</v>
      </c>
      <c r="D54" s="5" t="s">
        <v>287</v>
      </c>
      <c r="E54" s="5" t="s">
        <v>288</v>
      </c>
      <c r="F54" s="6" t="s">
        <v>32</v>
      </c>
      <c r="G54" s="5" t="s">
        <v>289</v>
      </c>
      <c r="H54" s="3" t="s">
        <v>64</v>
      </c>
      <c r="I54" s="5"/>
      <c r="J54" s="5"/>
      <c r="K54" s="5"/>
    </row>
    <row r="55" spans="1:11" ht="29.25" customHeight="1" x14ac:dyDescent="0.25">
      <c r="A55" s="1" t="s">
        <v>290</v>
      </c>
      <c r="B55" s="1" t="s">
        <v>271</v>
      </c>
      <c r="C55" s="1" t="s">
        <v>291</v>
      </c>
      <c r="D55" s="1" t="s">
        <v>292</v>
      </c>
      <c r="E55" s="1" t="s">
        <v>293</v>
      </c>
      <c r="F55" s="2" t="s">
        <v>32</v>
      </c>
      <c r="G55" s="1" t="s">
        <v>294</v>
      </c>
      <c r="H55" s="3" t="s">
        <v>64</v>
      </c>
      <c r="I55" s="1"/>
      <c r="J55" s="1"/>
      <c r="K55" s="1"/>
    </row>
    <row r="56" spans="1:11" ht="15" customHeight="1" x14ac:dyDescent="0.25">
      <c r="A56" s="5" t="s">
        <v>295</v>
      </c>
      <c r="B56" s="5" t="s">
        <v>271</v>
      </c>
      <c r="C56" s="5" t="s">
        <v>296</v>
      </c>
      <c r="D56" s="5" t="s">
        <v>297</v>
      </c>
      <c r="E56" s="5" t="s">
        <v>298</v>
      </c>
      <c r="F56" s="7" t="s">
        <v>34</v>
      </c>
      <c r="G56" s="5" t="s">
        <v>299</v>
      </c>
      <c r="H56" s="3" t="s">
        <v>64</v>
      </c>
      <c r="I56" s="5"/>
      <c r="J56" s="5"/>
      <c r="K56" s="5"/>
    </row>
    <row r="57" spans="1:11" ht="29.25" customHeight="1" x14ac:dyDescent="0.25">
      <c r="A57" s="1" t="s">
        <v>300</v>
      </c>
      <c r="B57" s="1" t="s">
        <v>271</v>
      </c>
      <c r="C57" s="1" t="s">
        <v>301</v>
      </c>
      <c r="D57" s="1" t="s">
        <v>302</v>
      </c>
      <c r="E57" s="1" t="s">
        <v>303</v>
      </c>
      <c r="F57" s="2" t="s">
        <v>32</v>
      </c>
      <c r="G57" s="1" t="s">
        <v>304</v>
      </c>
      <c r="H57" s="3" t="s">
        <v>64</v>
      </c>
      <c r="I57" s="1"/>
      <c r="J57" s="1"/>
      <c r="K57" s="1"/>
    </row>
    <row r="58" spans="1:11" ht="16.5" customHeight="1" x14ac:dyDescent="0.25">
      <c r="A58" s="25" t="s">
        <v>305</v>
      </c>
      <c r="B58" s="26"/>
      <c r="C58" s="26"/>
      <c r="D58" s="26"/>
      <c r="E58" s="26"/>
      <c r="F58" s="26"/>
      <c r="G58" s="26"/>
      <c r="H58" s="26"/>
      <c r="I58" s="26"/>
      <c r="J58" s="26"/>
      <c r="K58" s="27"/>
    </row>
    <row r="59" spans="1:11" ht="26.25" customHeight="1" x14ac:dyDescent="0.25">
      <c r="A59" s="1" t="s">
        <v>306</v>
      </c>
      <c r="B59" s="1" t="s">
        <v>307</v>
      </c>
      <c r="C59" s="1" t="s">
        <v>308</v>
      </c>
      <c r="D59" s="1" t="s">
        <v>309</v>
      </c>
      <c r="E59" s="1" t="s">
        <v>310</v>
      </c>
      <c r="F59" s="8" t="s">
        <v>34</v>
      </c>
      <c r="G59" s="1" t="s">
        <v>311</v>
      </c>
      <c r="H59" s="3" t="s">
        <v>64</v>
      </c>
      <c r="I59" s="1"/>
      <c r="J59" s="1"/>
      <c r="K59" s="1"/>
    </row>
    <row r="60" spans="1:11" ht="15" customHeight="1" x14ac:dyDescent="0.25">
      <c r="A60" s="5" t="s">
        <v>312</v>
      </c>
      <c r="B60" s="5" t="s">
        <v>307</v>
      </c>
      <c r="C60" s="5" t="s">
        <v>313</v>
      </c>
      <c r="D60" s="5" t="s">
        <v>314</v>
      </c>
      <c r="E60" s="5" t="s">
        <v>315</v>
      </c>
      <c r="F60" s="7" t="s">
        <v>34</v>
      </c>
      <c r="G60" s="5" t="s">
        <v>316</v>
      </c>
      <c r="H60" s="3" t="s">
        <v>64</v>
      </c>
      <c r="I60" s="5"/>
      <c r="J60" s="5"/>
      <c r="K60" s="5"/>
    </row>
    <row r="61" spans="1:11" ht="29.25" customHeight="1" x14ac:dyDescent="0.25">
      <c r="A61" s="1" t="s">
        <v>317</v>
      </c>
      <c r="B61" s="1" t="s">
        <v>307</v>
      </c>
      <c r="C61" s="1" t="s">
        <v>318</v>
      </c>
      <c r="D61" s="1" t="s">
        <v>319</v>
      </c>
      <c r="E61" s="1" t="s">
        <v>320</v>
      </c>
      <c r="F61" s="8" t="s">
        <v>34</v>
      </c>
      <c r="G61" s="1" t="s">
        <v>321</v>
      </c>
      <c r="H61" s="3" t="s">
        <v>64</v>
      </c>
      <c r="I61" s="1"/>
      <c r="J61" s="1"/>
      <c r="K61" s="1"/>
    </row>
    <row r="62" spans="1:11" ht="29.25" customHeight="1" x14ac:dyDescent="0.25">
      <c r="A62" s="5" t="s">
        <v>322</v>
      </c>
      <c r="B62" s="5" t="s">
        <v>307</v>
      </c>
      <c r="C62" s="5" t="s">
        <v>323</v>
      </c>
      <c r="D62" s="5" t="s">
        <v>324</v>
      </c>
      <c r="E62" s="5" t="s">
        <v>325</v>
      </c>
      <c r="F62" s="6" t="s">
        <v>32</v>
      </c>
      <c r="G62" s="5" t="s">
        <v>326</v>
      </c>
      <c r="H62" s="3" t="s">
        <v>64</v>
      </c>
      <c r="I62" s="5"/>
      <c r="J62" s="5"/>
      <c r="K62" s="5"/>
    </row>
    <row r="63" spans="1:11" ht="15" customHeight="1" x14ac:dyDescent="0.25">
      <c r="A63" s="1" t="s">
        <v>327</v>
      </c>
      <c r="B63" s="1" t="s">
        <v>307</v>
      </c>
      <c r="C63" s="1" t="s">
        <v>328</v>
      </c>
      <c r="D63" s="1" t="s">
        <v>329</v>
      </c>
      <c r="E63" s="1" t="s">
        <v>330</v>
      </c>
      <c r="F63" s="8" t="s">
        <v>36</v>
      </c>
      <c r="G63" s="1" t="s">
        <v>331</v>
      </c>
      <c r="H63" s="3" t="s">
        <v>64</v>
      </c>
      <c r="I63" s="1"/>
      <c r="J63" s="1"/>
      <c r="K63" s="1"/>
    </row>
    <row r="64" spans="1:11" ht="16.5" customHeight="1" x14ac:dyDescent="0.25">
      <c r="A64" s="25" t="s">
        <v>332</v>
      </c>
      <c r="B64" s="26"/>
      <c r="C64" s="26"/>
      <c r="D64" s="26"/>
      <c r="E64" s="26"/>
      <c r="F64" s="26"/>
      <c r="G64" s="26"/>
      <c r="H64" s="26"/>
      <c r="I64" s="26"/>
      <c r="J64" s="26"/>
      <c r="K64" s="27"/>
    </row>
    <row r="65" spans="1:11" ht="15" customHeight="1" x14ac:dyDescent="0.25">
      <c r="A65" s="5" t="s">
        <v>333</v>
      </c>
      <c r="B65" s="5" t="s">
        <v>334</v>
      </c>
      <c r="C65" s="5" t="s">
        <v>335</v>
      </c>
      <c r="D65" s="5" t="s">
        <v>336</v>
      </c>
      <c r="E65" s="5" t="s">
        <v>337</v>
      </c>
      <c r="F65" s="6" t="s">
        <v>32</v>
      </c>
      <c r="G65" s="5" t="s">
        <v>253</v>
      </c>
      <c r="H65" s="3"/>
      <c r="I65" s="5"/>
      <c r="J65" s="5"/>
      <c r="K65" s="5"/>
    </row>
    <row r="66" spans="1:11" ht="15" customHeight="1" x14ac:dyDescent="0.25">
      <c r="A66" s="1" t="s">
        <v>338</v>
      </c>
      <c r="B66" s="1" t="s">
        <v>334</v>
      </c>
      <c r="C66" s="1" t="s">
        <v>339</v>
      </c>
      <c r="D66" s="1" t="s">
        <v>340</v>
      </c>
      <c r="E66" s="1" t="s">
        <v>341</v>
      </c>
      <c r="F66" s="2" t="s">
        <v>32</v>
      </c>
      <c r="G66" s="1" t="s">
        <v>253</v>
      </c>
      <c r="H66" s="3" t="s">
        <v>64</v>
      </c>
      <c r="I66" s="1"/>
      <c r="J66" s="1"/>
      <c r="K66" s="1"/>
    </row>
    <row r="67" spans="1:11" ht="15" customHeight="1" x14ac:dyDescent="0.25">
      <c r="A67" s="5" t="s">
        <v>342</v>
      </c>
      <c r="B67" s="5" t="s">
        <v>334</v>
      </c>
      <c r="C67" s="5" t="s">
        <v>343</v>
      </c>
      <c r="D67" s="5" t="s">
        <v>344</v>
      </c>
      <c r="E67" s="5" t="s">
        <v>345</v>
      </c>
      <c r="F67" s="6" t="s">
        <v>32</v>
      </c>
      <c r="G67" s="5" t="s">
        <v>253</v>
      </c>
      <c r="H67" s="3" t="s">
        <v>64</v>
      </c>
      <c r="I67" s="5"/>
      <c r="J67" s="5"/>
      <c r="K67" s="5"/>
    </row>
    <row r="68" spans="1:11" ht="29.25" customHeight="1" x14ac:dyDescent="0.25">
      <c r="A68" s="1" t="s">
        <v>346</v>
      </c>
      <c r="B68" s="1" t="s">
        <v>334</v>
      </c>
      <c r="C68" s="1" t="s">
        <v>347</v>
      </c>
      <c r="D68" s="1" t="s">
        <v>348</v>
      </c>
      <c r="E68" s="1" t="s">
        <v>349</v>
      </c>
      <c r="F68" s="2" t="s">
        <v>32</v>
      </c>
      <c r="G68" s="1" t="s">
        <v>350</v>
      </c>
      <c r="H68" s="3" t="s">
        <v>64</v>
      </c>
      <c r="I68" s="1"/>
      <c r="J68" s="1"/>
      <c r="K68" s="1"/>
    </row>
    <row r="69" spans="1:11" ht="29.25" customHeight="1" x14ac:dyDescent="0.25">
      <c r="A69" s="5" t="s">
        <v>351</v>
      </c>
      <c r="B69" s="5" t="s">
        <v>334</v>
      </c>
      <c r="C69" s="5" t="s">
        <v>352</v>
      </c>
      <c r="D69" s="5" t="s">
        <v>353</v>
      </c>
      <c r="E69" s="5" t="s">
        <v>354</v>
      </c>
      <c r="F69" s="7" t="s">
        <v>36</v>
      </c>
      <c r="G69" s="5" t="s">
        <v>355</v>
      </c>
      <c r="H69" s="3" t="s">
        <v>64</v>
      </c>
      <c r="I69" s="5"/>
      <c r="J69" s="5"/>
      <c r="K69" s="5"/>
    </row>
    <row r="70" spans="1:11" ht="15" customHeight="1" x14ac:dyDescent="0.25">
      <c r="A70" s="1" t="s">
        <v>356</v>
      </c>
      <c r="B70" s="1" t="s">
        <v>334</v>
      </c>
      <c r="C70" s="1" t="s">
        <v>357</v>
      </c>
      <c r="D70" s="1" t="s">
        <v>358</v>
      </c>
      <c r="E70" s="1" t="s">
        <v>359</v>
      </c>
      <c r="F70" s="2" t="s">
        <v>32</v>
      </c>
      <c r="G70" s="1" t="s">
        <v>350</v>
      </c>
      <c r="H70" s="3" t="s">
        <v>64</v>
      </c>
      <c r="I70" s="1"/>
      <c r="J70" s="1"/>
      <c r="K70" s="1"/>
    </row>
  </sheetData>
  <mergeCells count="10">
    <mergeCell ref="A64:K64"/>
    <mergeCell ref="A41:K41"/>
    <mergeCell ref="A36:K36"/>
    <mergeCell ref="A1:K1"/>
    <mergeCell ref="A23:K23"/>
    <mergeCell ref="A58:K58"/>
    <mergeCell ref="A50:K50"/>
    <mergeCell ref="A12:K12"/>
    <mergeCell ref="A3:K3"/>
    <mergeCell ref="A30:K30"/>
  </mergeCells>
  <phoneticPr fontId="1" type="noConversion"/>
  <dataValidations count="2">
    <dataValidation type="list" allowBlank="1" sqref="H3:H70" xr:uid="{00000000-0002-0000-0100-000000000000}">
      <formula1>"通過,有條件通過,不通過,未測,不適用"</formula1>
      <formula2>0</formula2>
    </dataValidation>
    <dataValidation type="list" allowBlank="1" sqref="J3:J70" xr:uid="{00000000-0002-0000-0100-000001000000}">
      <formula1>"通過,不通過,未測,不適用"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zoomScale="115" zoomScaleNormal="115" workbookViewId="0">
      <pane ySplit="2" topLeftCell="A3" activePane="bottomLeft" state="frozen"/>
      <selection pane="bottomLeft" activeCell="B7" sqref="B7"/>
    </sheetView>
  </sheetViews>
  <sheetFormatPr defaultColWidth="8.7109375" defaultRowHeight="15" x14ac:dyDescent="0.25"/>
  <cols>
    <col min="1" max="1" width="24" style="17" customWidth="1"/>
    <col min="2" max="2" width="14" style="17" customWidth="1"/>
    <col min="3" max="3" width="42" style="4" customWidth="1"/>
    <col min="4" max="4" width="40" style="4" customWidth="1"/>
    <col min="5" max="5" width="36" style="4" customWidth="1"/>
    <col min="6" max="6" width="30" style="4" customWidth="1"/>
    <col min="7" max="7" width="12" style="4" customWidth="1"/>
    <col min="8" max="8" width="20" style="4" customWidth="1"/>
    <col min="9" max="9" width="8.7109375" style="4" customWidth="1"/>
    <col min="10" max="16384" width="8.7109375" style="4"/>
  </cols>
  <sheetData>
    <row r="1" spans="1:8" ht="21.6" customHeight="1" x14ac:dyDescent="0.3">
      <c r="A1" s="28" t="s">
        <v>360</v>
      </c>
      <c r="B1" s="32"/>
      <c r="C1" s="29"/>
      <c r="D1" s="29"/>
      <c r="E1" s="29"/>
      <c r="F1" s="29"/>
      <c r="G1" s="29"/>
      <c r="H1" s="29"/>
    </row>
    <row r="2" spans="1:8" ht="17.100000000000001" customHeight="1" x14ac:dyDescent="0.25">
      <c r="A2" s="9" t="s">
        <v>361</v>
      </c>
      <c r="B2" s="9" t="s">
        <v>362</v>
      </c>
      <c r="C2" s="9" t="s">
        <v>363</v>
      </c>
      <c r="D2" s="9" t="s">
        <v>364</v>
      </c>
      <c r="E2" s="9" t="s">
        <v>365</v>
      </c>
      <c r="F2" s="9" t="s">
        <v>366</v>
      </c>
      <c r="G2" s="9" t="s">
        <v>367</v>
      </c>
      <c r="H2" s="9" t="s">
        <v>368</v>
      </c>
    </row>
    <row r="3" spans="1:8" ht="15" customHeight="1" x14ac:dyDescent="0.25">
      <c r="A3" s="31" t="s">
        <v>369</v>
      </c>
      <c r="B3" s="26"/>
      <c r="C3" s="26"/>
      <c r="D3" s="26"/>
      <c r="E3" s="26"/>
      <c r="F3" s="26"/>
      <c r="G3" s="26"/>
      <c r="H3" s="27"/>
    </row>
    <row r="4" spans="1:8" ht="29.85" customHeight="1" x14ac:dyDescent="0.25">
      <c r="A4" s="11" t="s">
        <v>370</v>
      </c>
      <c r="B4" s="12" t="s">
        <v>371</v>
      </c>
      <c r="C4" s="13" t="s">
        <v>372</v>
      </c>
      <c r="D4" s="13" t="s">
        <v>373</v>
      </c>
      <c r="E4" s="13" t="s">
        <v>374</v>
      </c>
      <c r="F4" s="13" t="s">
        <v>375</v>
      </c>
      <c r="G4" s="13" t="s">
        <v>58</v>
      </c>
      <c r="H4" s="13" t="s">
        <v>376</v>
      </c>
    </row>
    <row r="5" spans="1:8" ht="29.85" customHeight="1" x14ac:dyDescent="0.25">
      <c r="A5" s="14" t="s">
        <v>377</v>
      </c>
      <c r="B5" s="15" t="s">
        <v>378</v>
      </c>
      <c r="C5" s="16" t="s">
        <v>379</v>
      </c>
      <c r="D5" s="16" t="s">
        <v>380</v>
      </c>
      <c r="E5" s="16" t="s">
        <v>381</v>
      </c>
      <c r="F5" s="16" t="s">
        <v>382</v>
      </c>
      <c r="G5" s="16" t="s">
        <v>65</v>
      </c>
      <c r="H5" s="16" t="s">
        <v>376</v>
      </c>
    </row>
    <row r="6" spans="1:8" ht="29.85" customHeight="1" x14ac:dyDescent="0.25">
      <c r="A6" s="11" t="s">
        <v>383</v>
      </c>
      <c r="B6" s="12" t="s">
        <v>384</v>
      </c>
      <c r="C6" s="13" t="s">
        <v>385</v>
      </c>
      <c r="D6" s="13" t="s">
        <v>386</v>
      </c>
      <c r="E6" s="13" t="s">
        <v>387</v>
      </c>
      <c r="F6" s="13" t="s">
        <v>388</v>
      </c>
      <c r="G6" s="13" t="s">
        <v>389</v>
      </c>
      <c r="H6" s="13" t="s">
        <v>376</v>
      </c>
    </row>
    <row r="7" spans="1:8" ht="29.85" customHeight="1" x14ac:dyDescent="0.25">
      <c r="A7" s="14" t="s">
        <v>390</v>
      </c>
      <c r="B7" s="15" t="s">
        <v>391</v>
      </c>
      <c r="C7" s="16" t="s">
        <v>392</v>
      </c>
      <c r="D7" s="16" t="s">
        <v>393</v>
      </c>
      <c r="E7" s="16" t="s">
        <v>394</v>
      </c>
      <c r="F7" s="16" t="s">
        <v>395</v>
      </c>
      <c r="G7" s="16" t="s">
        <v>58</v>
      </c>
      <c r="H7" s="16" t="s">
        <v>376</v>
      </c>
    </row>
    <row r="8" spans="1:8" ht="29.85" customHeight="1" x14ac:dyDescent="0.25">
      <c r="A8" s="11" t="s">
        <v>396</v>
      </c>
      <c r="B8" s="12" t="s">
        <v>397</v>
      </c>
      <c r="C8" s="13" t="s">
        <v>398</v>
      </c>
      <c r="D8" s="13" t="s">
        <v>399</v>
      </c>
      <c r="E8" s="13" t="s">
        <v>400</v>
      </c>
      <c r="F8" s="13" t="s">
        <v>401</v>
      </c>
      <c r="G8" s="13" t="s">
        <v>75</v>
      </c>
      <c r="H8" s="13" t="s">
        <v>376</v>
      </c>
    </row>
    <row r="9" spans="1:8" ht="29.85" customHeight="1" x14ac:dyDescent="0.25">
      <c r="A9" s="14" t="s">
        <v>402</v>
      </c>
      <c r="B9" s="15" t="s">
        <v>403</v>
      </c>
      <c r="C9" s="16" t="s">
        <v>404</v>
      </c>
      <c r="D9" s="16" t="s">
        <v>405</v>
      </c>
      <c r="E9" s="16" t="s">
        <v>406</v>
      </c>
      <c r="F9" s="16" t="s">
        <v>407</v>
      </c>
      <c r="G9" s="16" t="s">
        <v>85</v>
      </c>
      <c r="H9" s="16" t="s">
        <v>376</v>
      </c>
    </row>
    <row r="10" spans="1:8" ht="15" customHeight="1" x14ac:dyDescent="0.25">
      <c r="A10" s="31" t="s">
        <v>408</v>
      </c>
      <c r="B10" s="26"/>
      <c r="C10" s="26"/>
      <c r="D10" s="26"/>
      <c r="E10" s="26"/>
      <c r="F10" s="26"/>
      <c r="G10" s="26"/>
      <c r="H10" s="27"/>
    </row>
    <row r="11" spans="1:8" ht="29.85" customHeight="1" x14ac:dyDescent="0.25">
      <c r="A11" s="11" t="s">
        <v>116</v>
      </c>
      <c r="B11" s="12" t="s">
        <v>409</v>
      </c>
      <c r="C11" s="13" t="s">
        <v>410</v>
      </c>
      <c r="D11" s="13" t="s">
        <v>411</v>
      </c>
      <c r="E11" s="13" t="s">
        <v>412</v>
      </c>
      <c r="F11" s="13" t="s">
        <v>413</v>
      </c>
      <c r="G11" s="13" t="s">
        <v>115</v>
      </c>
      <c r="H11" s="13" t="s">
        <v>376</v>
      </c>
    </row>
    <row r="12" spans="1:8" ht="15" customHeight="1" x14ac:dyDescent="0.25">
      <c r="A12" s="14" t="s">
        <v>414</v>
      </c>
      <c r="B12" s="15" t="s">
        <v>415</v>
      </c>
      <c r="C12" s="16" t="s">
        <v>416</v>
      </c>
      <c r="D12" s="16" t="s">
        <v>417</v>
      </c>
      <c r="E12" s="16" t="s">
        <v>418</v>
      </c>
      <c r="F12" s="16" t="s">
        <v>419</v>
      </c>
      <c r="G12" s="16" t="s">
        <v>420</v>
      </c>
      <c r="H12" s="16" t="s">
        <v>376</v>
      </c>
    </row>
    <row r="13" spans="1:8" ht="29.85" customHeight="1" x14ac:dyDescent="0.25">
      <c r="A13" s="11" t="s">
        <v>421</v>
      </c>
      <c r="B13" s="12" t="s">
        <v>422</v>
      </c>
      <c r="C13" s="13" t="s">
        <v>423</v>
      </c>
      <c r="D13" s="13" t="s">
        <v>424</v>
      </c>
      <c r="E13" s="13" t="s">
        <v>425</v>
      </c>
      <c r="F13" s="13" t="s">
        <v>413</v>
      </c>
      <c r="G13" s="13" t="s">
        <v>124</v>
      </c>
      <c r="H13" s="13" t="s">
        <v>376</v>
      </c>
    </row>
    <row r="14" spans="1:8" ht="17.100000000000001" customHeight="1" x14ac:dyDescent="0.25">
      <c r="A14" s="31" t="s">
        <v>426</v>
      </c>
      <c r="B14" s="26"/>
      <c r="C14" s="26"/>
      <c r="D14" s="26"/>
      <c r="E14" s="26"/>
      <c r="F14" s="26"/>
      <c r="G14" s="26"/>
      <c r="H14" s="27"/>
    </row>
    <row r="15" spans="1:8" ht="29.85" customHeight="1" x14ac:dyDescent="0.25">
      <c r="A15" s="11" t="s">
        <v>427</v>
      </c>
      <c r="B15" s="12" t="s">
        <v>428</v>
      </c>
      <c r="C15" s="13" t="s">
        <v>429</v>
      </c>
      <c r="D15" s="13" t="s">
        <v>430</v>
      </c>
      <c r="E15" s="13" t="s">
        <v>431</v>
      </c>
      <c r="F15" s="13" t="s">
        <v>432</v>
      </c>
      <c r="G15" s="13" t="s">
        <v>159</v>
      </c>
      <c r="H15" s="13" t="s">
        <v>376</v>
      </c>
    </row>
    <row r="16" spans="1:8" ht="29.85" customHeight="1" x14ac:dyDescent="0.25">
      <c r="A16" s="14" t="s">
        <v>433</v>
      </c>
      <c r="B16" s="15" t="s">
        <v>422</v>
      </c>
      <c r="C16" s="16" t="s">
        <v>434</v>
      </c>
      <c r="D16" s="16" t="s">
        <v>435</v>
      </c>
      <c r="E16" s="16" t="s">
        <v>436</v>
      </c>
      <c r="F16" s="16" t="s">
        <v>437</v>
      </c>
      <c r="G16" s="16" t="s">
        <v>438</v>
      </c>
      <c r="H16" s="16" t="s">
        <v>376</v>
      </c>
    </row>
    <row r="17" spans="1:8" ht="29.85" customHeight="1" x14ac:dyDescent="0.25">
      <c r="A17" s="11" t="s">
        <v>439</v>
      </c>
      <c r="B17" s="12" t="s">
        <v>371</v>
      </c>
      <c r="C17" s="13" t="s">
        <v>440</v>
      </c>
      <c r="D17" s="13" t="s">
        <v>441</v>
      </c>
      <c r="E17" s="13" t="s">
        <v>442</v>
      </c>
      <c r="F17" s="13" t="s">
        <v>413</v>
      </c>
      <c r="G17" s="13" t="s">
        <v>213</v>
      </c>
      <c r="H17" s="13" t="s">
        <v>376</v>
      </c>
    </row>
    <row r="18" spans="1:8" ht="15" customHeight="1" x14ac:dyDescent="0.25">
      <c r="A18" s="14" t="s">
        <v>443</v>
      </c>
      <c r="B18" s="15" t="s">
        <v>422</v>
      </c>
      <c r="C18" s="16" t="s">
        <v>444</v>
      </c>
      <c r="D18" s="16" t="s">
        <v>445</v>
      </c>
      <c r="E18" s="16" t="s">
        <v>446</v>
      </c>
      <c r="F18" s="16" t="s">
        <v>413</v>
      </c>
      <c r="G18" s="16" t="s">
        <v>217</v>
      </c>
      <c r="H18" s="16" t="s">
        <v>376</v>
      </c>
    </row>
    <row r="19" spans="1:8" ht="15" customHeight="1" x14ac:dyDescent="0.25">
      <c r="A19" s="31" t="s">
        <v>447</v>
      </c>
      <c r="B19" s="26"/>
      <c r="C19" s="26"/>
      <c r="D19" s="26"/>
      <c r="E19" s="26"/>
      <c r="F19" s="26"/>
      <c r="G19" s="26"/>
      <c r="H19" s="27"/>
    </row>
    <row r="20" spans="1:8" ht="29.85" customHeight="1" x14ac:dyDescent="0.25">
      <c r="A20" s="11" t="s">
        <v>448</v>
      </c>
      <c r="B20" s="12" t="s">
        <v>409</v>
      </c>
      <c r="C20" s="13" t="s">
        <v>449</v>
      </c>
      <c r="D20" s="13" t="s">
        <v>450</v>
      </c>
      <c r="E20" s="13" t="s">
        <v>451</v>
      </c>
      <c r="F20" s="13" t="s">
        <v>413</v>
      </c>
      <c r="G20" s="13" t="s">
        <v>191</v>
      </c>
      <c r="H20" s="13" t="s">
        <v>376</v>
      </c>
    </row>
    <row r="21" spans="1:8" ht="29.85" customHeight="1" x14ac:dyDescent="0.25">
      <c r="A21" s="14" t="s">
        <v>452</v>
      </c>
      <c r="B21" s="15" t="s">
        <v>422</v>
      </c>
      <c r="C21" s="16" t="s">
        <v>453</v>
      </c>
      <c r="D21" s="16" t="s">
        <v>454</v>
      </c>
      <c r="E21" s="16" t="s">
        <v>455</v>
      </c>
      <c r="F21" s="16" t="s">
        <v>456</v>
      </c>
      <c r="G21" s="16" t="s">
        <v>196</v>
      </c>
      <c r="H21" s="16" t="s">
        <v>376</v>
      </c>
    </row>
    <row r="22" spans="1:8" ht="15" customHeight="1" x14ac:dyDescent="0.25">
      <c r="A22" s="31" t="s">
        <v>457</v>
      </c>
      <c r="B22" s="26"/>
      <c r="C22" s="26"/>
      <c r="D22" s="26"/>
      <c r="E22" s="26"/>
      <c r="F22" s="26"/>
      <c r="G22" s="26"/>
      <c r="H22" s="27"/>
    </row>
    <row r="23" spans="1:8" ht="15" customHeight="1" x14ac:dyDescent="0.25">
      <c r="A23" s="11" t="s">
        <v>458</v>
      </c>
      <c r="B23" s="12" t="s">
        <v>459</v>
      </c>
      <c r="C23" s="13" t="s">
        <v>460</v>
      </c>
      <c r="D23" s="13" t="s">
        <v>461</v>
      </c>
      <c r="E23" s="13" t="s">
        <v>462</v>
      </c>
      <c r="F23" s="13" t="s">
        <v>463</v>
      </c>
      <c r="G23" s="13" t="s">
        <v>306</v>
      </c>
      <c r="H23" s="13" t="s">
        <v>376</v>
      </c>
    </row>
    <row r="24" spans="1:8" ht="15" customHeight="1" x14ac:dyDescent="0.25">
      <c r="A24" s="14" t="s">
        <v>464</v>
      </c>
      <c r="B24" s="15" t="s">
        <v>465</v>
      </c>
      <c r="C24" s="16" t="s">
        <v>466</v>
      </c>
      <c r="D24" s="16" t="s">
        <v>467</v>
      </c>
      <c r="E24" s="16" t="s">
        <v>468</v>
      </c>
      <c r="F24" s="16" t="s">
        <v>382</v>
      </c>
      <c r="G24" s="16" t="s">
        <v>312</v>
      </c>
      <c r="H24" s="16" t="s">
        <v>376</v>
      </c>
    </row>
    <row r="25" spans="1:8" ht="29.85" customHeight="1" x14ac:dyDescent="0.25">
      <c r="A25" s="11" t="s">
        <v>469</v>
      </c>
      <c r="B25" s="12" t="s">
        <v>470</v>
      </c>
      <c r="C25" s="13" t="s">
        <v>471</v>
      </c>
      <c r="D25" s="13" t="s">
        <v>472</v>
      </c>
      <c r="E25" s="13" t="s">
        <v>473</v>
      </c>
      <c r="F25" s="13" t="s">
        <v>474</v>
      </c>
      <c r="G25" s="13" t="s">
        <v>317</v>
      </c>
      <c r="H25" s="13" t="s">
        <v>475</v>
      </c>
    </row>
    <row r="26" spans="1:8" ht="29.85" customHeight="1" x14ac:dyDescent="0.25">
      <c r="A26" s="14" t="s">
        <v>476</v>
      </c>
      <c r="B26" s="15" t="s">
        <v>422</v>
      </c>
      <c r="C26" s="16" t="s">
        <v>477</v>
      </c>
      <c r="D26" s="16" t="s">
        <v>478</v>
      </c>
      <c r="E26" s="16" t="s">
        <v>479</v>
      </c>
      <c r="F26" s="16" t="s">
        <v>480</v>
      </c>
      <c r="G26" s="16" t="s">
        <v>481</v>
      </c>
      <c r="H26" s="16" t="s">
        <v>482</v>
      </c>
    </row>
    <row r="27" spans="1:8" ht="29.85" customHeight="1" x14ac:dyDescent="0.25">
      <c r="A27" s="11" t="s">
        <v>483</v>
      </c>
      <c r="B27" s="12" t="s">
        <v>422</v>
      </c>
      <c r="C27" s="13" t="s">
        <v>484</v>
      </c>
      <c r="D27" s="13" t="s">
        <v>485</v>
      </c>
      <c r="E27" s="13" t="s">
        <v>486</v>
      </c>
      <c r="F27" s="13" t="s">
        <v>487</v>
      </c>
      <c r="G27" s="13" t="s">
        <v>239</v>
      </c>
      <c r="H27" s="13" t="s">
        <v>376</v>
      </c>
    </row>
    <row r="28" spans="1:8" ht="29.85" customHeight="1" x14ac:dyDescent="0.25">
      <c r="A28" s="14" t="s">
        <v>488</v>
      </c>
      <c r="B28" s="15" t="s">
        <v>422</v>
      </c>
      <c r="C28" s="16" t="s">
        <v>489</v>
      </c>
      <c r="D28" s="16" t="s">
        <v>490</v>
      </c>
      <c r="E28" s="16" t="s">
        <v>491</v>
      </c>
      <c r="F28" s="16" t="s">
        <v>413</v>
      </c>
      <c r="G28" s="16" t="s">
        <v>259</v>
      </c>
      <c r="H28" s="16" t="s">
        <v>376</v>
      </c>
    </row>
  </sheetData>
  <mergeCells count="6">
    <mergeCell ref="A1:H1"/>
    <mergeCell ref="A22:H22"/>
    <mergeCell ref="A3:H3"/>
    <mergeCell ref="A10:H10"/>
    <mergeCell ref="A19:H19"/>
    <mergeCell ref="A14:H14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showGridLines="0" zoomScale="130" zoomScaleNormal="130" workbookViewId="0">
      <selection activeCell="C7" sqref="C7"/>
    </sheetView>
  </sheetViews>
  <sheetFormatPr defaultColWidth="8.7109375" defaultRowHeight="15" x14ac:dyDescent="0.25"/>
  <cols>
    <col min="1" max="1" width="4" style="4" customWidth="1"/>
    <col min="2" max="2" width="22" style="4" customWidth="1"/>
    <col min="3" max="3" width="95" style="4" customWidth="1"/>
    <col min="4" max="4" width="8.7109375" style="4" customWidth="1"/>
    <col min="5" max="16384" width="8.7109375" style="4"/>
  </cols>
  <sheetData>
    <row r="2" spans="2:3" ht="27" customHeight="1" x14ac:dyDescent="0.3">
      <c r="B2" s="18" t="s">
        <v>0</v>
      </c>
    </row>
    <row r="3" spans="2:3" ht="18.75" customHeight="1" x14ac:dyDescent="0.25">
      <c r="B3" s="19" t="s">
        <v>1</v>
      </c>
    </row>
    <row r="5" spans="2:3" ht="15.75" customHeight="1" x14ac:dyDescent="0.25">
      <c r="B5" s="20" t="s">
        <v>2</v>
      </c>
    </row>
    <row r="6" spans="2:3" ht="16.5" customHeight="1" x14ac:dyDescent="0.25">
      <c r="B6" s="21" t="s">
        <v>3</v>
      </c>
      <c r="C6" s="22" t="s">
        <v>4</v>
      </c>
    </row>
    <row r="7" spans="2:3" ht="16.5" customHeight="1" x14ac:dyDescent="0.25">
      <c r="B7" s="21" t="s">
        <v>5</v>
      </c>
      <c r="C7" s="22" t="s">
        <v>6</v>
      </c>
    </row>
    <row r="8" spans="2:3" ht="15" customHeight="1" x14ac:dyDescent="0.25">
      <c r="B8" s="21" t="s">
        <v>7</v>
      </c>
      <c r="C8" s="22" t="s">
        <v>8</v>
      </c>
    </row>
    <row r="9" spans="2:3" ht="16.5" customHeight="1" x14ac:dyDescent="0.25">
      <c r="B9" s="21" t="s">
        <v>9</v>
      </c>
      <c r="C9" s="22" t="s">
        <v>10</v>
      </c>
    </row>
    <row r="11" spans="2:3" ht="19.5" customHeight="1" x14ac:dyDescent="0.25">
      <c r="B11" s="20" t="s">
        <v>11</v>
      </c>
    </row>
    <row r="12" spans="2:3" ht="48" customHeight="1" x14ac:dyDescent="0.25">
      <c r="B12" s="23" t="s">
        <v>12</v>
      </c>
      <c r="C12" s="22" t="s">
        <v>13</v>
      </c>
    </row>
    <row r="13" spans="2:3" ht="16.5" customHeight="1" x14ac:dyDescent="0.25">
      <c r="B13" s="23" t="s">
        <v>14</v>
      </c>
      <c r="C13" s="22" t="s">
        <v>15</v>
      </c>
    </row>
    <row r="14" spans="2:3" ht="16.5" customHeight="1" x14ac:dyDescent="0.25">
      <c r="B14" s="23" t="s">
        <v>16</v>
      </c>
      <c r="C14" s="22" t="s">
        <v>17</v>
      </c>
    </row>
    <row r="16" spans="2:3" ht="15.75" customHeight="1" x14ac:dyDescent="0.25">
      <c r="B16" s="20" t="s">
        <v>18</v>
      </c>
    </row>
    <row r="17" spans="2:3" ht="32.25" customHeight="1" x14ac:dyDescent="0.25">
      <c r="B17" s="23" t="s">
        <v>19</v>
      </c>
      <c r="C17" s="24" t="s">
        <v>20</v>
      </c>
    </row>
    <row r="18" spans="2:3" ht="16.5" customHeight="1" x14ac:dyDescent="0.25">
      <c r="B18" s="23" t="s">
        <v>21</v>
      </c>
      <c r="C18" s="22" t="s">
        <v>22</v>
      </c>
    </row>
    <row r="19" spans="2:3" ht="16.5" customHeight="1" x14ac:dyDescent="0.25">
      <c r="B19" s="23" t="s">
        <v>23</v>
      </c>
      <c r="C19" s="22" t="s">
        <v>24</v>
      </c>
    </row>
    <row r="20" spans="2:3" ht="32.25" customHeight="1" x14ac:dyDescent="0.25">
      <c r="B20" s="23" t="s">
        <v>25</v>
      </c>
      <c r="C20" s="22" t="s">
        <v>26</v>
      </c>
    </row>
    <row r="21" spans="2:3" ht="32.25" customHeight="1" x14ac:dyDescent="0.25">
      <c r="B21" s="23" t="s">
        <v>27</v>
      </c>
      <c r="C21" s="22" t="s">
        <v>28</v>
      </c>
    </row>
    <row r="22" spans="2:3" ht="32.25" customHeight="1" x14ac:dyDescent="0.25">
      <c r="B22" s="23" t="s">
        <v>29</v>
      </c>
      <c r="C22" s="22" t="s">
        <v>30</v>
      </c>
    </row>
    <row r="24" spans="2:3" ht="15.75" customHeight="1" x14ac:dyDescent="0.25">
      <c r="B24" s="20" t="s">
        <v>31</v>
      </c>
    </row>
    <row r="25" spans="2:3" ht="16.5" customHeight="1" x14ac:dyDescent="0.25">
      <c r="B25" s="21" t="s">
        <v>32</v>
      </c>
      <c r="C25" s="22" t="s">
        <v>33</v>
      </c>
    </row>
    <row r="26" spans="2:3" ht="16.5" customHeight="1" x14ac:dyDescent="0.25">
      <c r="B26" s="21" t="s">
        <v>34</v>
      </c>
      <c r="C26" s="22" t="s">
        <v>35</v>
      </c>
    </row>
    <row r="27" spans="2:3" ht="16.5" customHeight="1" x14ac:dyDescent="0.25">
      <c r="B27" s="21" t="s">
        <v>36</v>
      </c>
      <c r="C27" s="22" t="s">
        <v>37</v>
      </c>
    </row>
    <row r="29" spans="2:3" ht="19.5" customHeight="1" x14ac:dyDescent="0.25">
      <c r="B29" s="20" t="s">
        <v>38</v>
      </c>
    </row>
    <row r="30" spans="2:3" ht="15" customHeight="1" x14ac:dyDescent="0.25">
      <c r="B30" s="21" t="s">
        <v>39</v>
      </c>
      <c r="C30" s="22">
        <f>COUNTA(驗收檢核表!F3:F201)</f>
        <v>59</v>
      </c>
    </row>
    <row r="31" spans="2:3" ht="15" customHeight="1" x14ac:dyDescent="0.25">
      <c r="B31" s="21" t="s">
        <v>40</v>
      </c>
      <c r="C31" s="22">
        <f>COUNTIF(驗收檢核表!F3:F201,"必要")</f>
        <v>42</v>
      </c>
    </row>
    <row r="32" spans="2:3" ht="15" customHeight="1" x14ac:dyDescent="0.25">
      <c r="B32" s="21" t="s">
        <v>41</v>
      </c>
      <c r="C32" s="22">
        <f>COUNTIF(驗收檢核表!F3:F201,"重要")</f>
        <v>14</v>
      </c>
    </row>
    <row r="33" spans="2:3" ht="15" customHeight="1" x14ac:dyDescent="0.25">
      <c r="B33" s="21" t="s">
        <v>42</v>
      </c>
      <c r="C33" s="22">
        <f>COUNTIF(驗收檢核表!F3:F201,"一般")</f>
        <v>2</v>
      </c>
    </row>
    <row r="34" spans="2:3" ht="15" customHeight="1" x14ac:dyDescent="0.25">
      <c r="B34" s="21" t="s">
        <v>43</v>
      </c>
      <c r="C34" s="22">
        <f>COUNTIF(驗收檢核表!H3:H201,"通過")</f>
        <v>0</v>
      </c>
    </row>
    <row r="35" spans="2:3" ht="15" customHeight="1" x14ac:dyDescent="0.25">
      <c r="B35" s="21" t="s">
        <v>44</v>
      </c>
      <c r="C35" s="22">
        <f>COUNTIF(驗收檢核表!H3:H201,"不通過")</f>
        <v>0</v>
      </c>
    </row>
    <row r="37" spans="2:3" ht="15" customHeight="1" x14ac:dyDescent="0.25">
      <c r="B37" s="33" t="s">
        <v>45</v>
      </c>
      <c r="C37" s="29"/>
    </row>
  </sheetData>
  <mergeCells count="1">
    <mergeCell ref="B37:C37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驗收架構圖</vt:lpstr>
      <vt:lpstr>驗收檢核表</vt:lpstr>
      <vt:lpstr>量化指標彙總</vt:lpstr>
      <vt:lpstr>說明與驗收程序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</cp:lastModifiedBy>
  <cp:revision>0</cp:revision>
  <dcterms:created xsi:type="dcterms:W3CDTF">2026-07-07T00:47:38Z</dcterms:created>
  <dcterms:modified xsi:type="dcterms:W3CDTF">2026-07-08T08:06:46Z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{796C1D25-F653-4A4F-9C29-54BC63372952}</vt:lpwstr>
  </property>
</Properties>
</file>