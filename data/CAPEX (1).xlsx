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2557\Desktop\"/>
    </mc:Choice>
  </mc:AlternateContent>
  <xr:revisionPtr revIDLastSave="0" documentId="13_ncr:1_{3C204A17-8021-44BD-8CFE-A8ED2B5C4E74}" xr6:coauthVersionLast="47" xr6:coauthVersionMax="47" xr10:uidLastSave="{00000000-0000-0000-0000-000000000000}"/>
  <bookViews>
    <workbookView xWindow="-108" yWindow="-108" windowWidth="23256" windowHeight="12576" xr2:uid="{558A6B7D-C3C5-4025-A8E3-9344F42AA98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6" i="1" l="1"/>
  <c r="W6" i="1"/>
  <c r="U6" i="1"/>
  <c r="O7" i="1"/>
  <c r="Y7" i="1" s="1"/>
  <c r="M7" i="1"/>
  <c r="M6" i="1"/>
  <c r="U7" i="1" l="1"/>
  <c r="W7" i="1"/>
</calcChain>
</file>

<file path=xl/sharedStrings.xml><?xml version="1.0" encoding="utf-8"?>
<sst xmlns="http://schemas.openxmlformats.org/spreadsheetml/2006/main" count="74" uniqueCount="51">
  <si>
    <t>供應商</t>
  </si>
  <si>
    <t>開立日期</t>
  </si>
  <si>
    <t>料號</t>
  </si>
  <si>
    <t>主檔摘要</t>
  </si>
  <si>
    <t>料號摘要</t>
  </si>
  <si>
    <t>單位</t>
  </si>
  <si>
    <t>幣別</t>
  </si>
  <si>
    <t>數量</t>
  </si>
  <si>
    <t>訂單金額</t>
  </si>
  <si>
    <t>BPM 固資驗收</t>
  </si>
  <si>
    <t>訂金款%</t>
  </si>
  <si>
    <t>交機/完工款%</t>
  </si>
  <si>
    <t>驗收款%</t>
  </si>
  <si>
    <t>訂金款</t>
  </si>
  <si>
    <t>交機/完工款</t>
  </si>
  <si>
    <t>驗收款</t>
  </si>
  <si>
    <t>專案代號:69</t>
  </si>
  <si>
    <t>SET</t>
  </si>
  <si>
    <t>TWD</t>
  </si>
  <si>
    <t>加進科技有限公司</t>
  </si>
  <si>
    <t>AEQ000424</t>
  </si>
  <si>
    <t>雷射去膠機//PDFN8080</t>
  </si>
  <si>
    <t>TOWA CORPORATION</t>
  </si>
  <si>
    <t>AEQ001275</t>
  </si>
  <si>
    <t>終極模組化/自動成型系統/</t>
  </si>
  <si>
    <t>JPY</t>
  </si>
  <si>
    <t>%</t>
    <phoneticPr fontId="2" type="noConversion"/>
  </si>
  <si>
    <t>數字</t>
    <phoneticPr fontId="2" type="noConversion"/>
  </si>
  <si>
    <t>單位</t>
    <phoneticPr fontId="2" type="noConversion"/>
  </si>
  <si>
    <t>2025/12/11</t>
  </si>
  <si>
    <t>2250019969</t>
  </si>
  <si>
    <t>日期</t>
    <phoneticPr fontId="2" type="noConversion"/>
  </si>
  <si>
    <t>文字</t>
    <phoneticPr fontId="2" type="noConversion"/>
  </si>
  <si>
    <t>舉例1</t>
    <phoneticPr fontId="2" type="noConversion"/>
  </si>
  <si>
    <t>舉例2</t>
    <phoneticPr fontId="2" type="noConversion"/>
  </si>
  <si>
    <t>設備入廠日</t>
    <phoneticPr fontId="2" type="noConversion"/>
  </si>
  <si>
    <t>站別</t>
    <phoneticPr fontId="2" type="noConversion"/>
  </si>
  <si>
    <t>設備類別</t>
    <phoneticPr fontId="2" type="noConversion"/>
  </si>
  <si>
    <t>MD</t>
    <phoneticPr fontId="2" type="noConversion"/>
  </si>
  <si>
    <t>設備</t>
    <phoneticPr fontId="2" type="noConversion"/>
  </si>
  <si>
    <t>DG</t>
    <phoneticPr fontId="2" type="noConversion"/>
  </si>
  <si>
    <t>採購單號(PO)</t>
    <phoneticPr fontId="2" type="noConversion"/>
  </si>
  <si>
    <t>下單選單 
固定資產_設備/固定資產_模具/固定資產_工程/雜項_消耗品</t>
    <phoneticPr fontId="2" type="noConversion"/>
  </si>
  <si>
    <r>
      <t xml:space="preserve">下單選單
</t>
    </r>
    <r>
      <rPr>
        <b/>
        <sz val="9"/>
        <color rgb="FF000000"/>
        <rFont val="微軟正黑體"/>
        <family val="2"/>
        <charset val="136"/>
      </rPr>
      <t>TWD/
JPY/
USD/
RMB</t>
    </r>
    <phoneticPr fontId="2" type="noConversion"/>
  </si>
  <si>
    <t>排序依據類別分類，並統計該類別總和，以及全部類別總額</t>
    <phoneticPr fontId="2" type="noConversion"/>
  </si>
  <si>
    <t>原幣議價</t>
    <phoneticPr fontId="2" type="noConversion"/>
  </si>
  <si>
    <t>台幣議價</t>
    <phoneticPr fontId="2" type="noConversion"/>
  </si>
  <si>
    <t>付款日</t>
    <phoneticPr fontId="2" type="noConversion"/>
  </si>
  <si>
    <t>付款狀態</t>
    <phoneticPr fontId="2" type="noConversion"/>
  </si>
  <si>
    <t>文字</t>
  </si>
  <si>
    <t>日期
xxxx/xx/xx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</si>
</sst>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1F497D"/>
      <name val="微軟正黑體"/>
      <family val="2"/>
      <charset val="136"/>
    </font>
    <font>
      <b/>
      <sz val="9"/>
      <color rgb="FF000000"/>
      <name val="微軟正黑體"/>
      <family val="2"/>
      <charset val="136"/>
    </font>
    <font>
      <b/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>
      <alignment vertical="center"/>
    </xf>
    <xf numFmtId="49" fontId="4" fillId="0" borderId="1" xfId="0" applyNumberFormat="1" applyFont="1" applyFill="1" applyBorder="1" applyAlignment="1">
      <alignment horizontal="right" vertical="center"/>
    </xf>
    <xf numFmtId="14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vertical="center" wrapText="1"/>
    </xf>
    <xf numFmtId="176" fontId="5" fillId="0" borderId="1" xfId="1" applyNumberFormat="1" applyFont="1" applyFill="1" applyBorder="1" applyAlignment="1">
      <alignment horizontal="right" vertical="center" wrapText="1"/>
    </xf>
    <xf numFmtId="0" fontId="6" fillId="0" borderId="0" xfId="0" applyFont="1" applyFill="1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FD8B-D919-4595-AAFD-BCBCED453CF9}">
  <dimension ref="A4:AA10"/>
  <sheetViews>
    <sheetView tabSelected="1" zoomScale="70" zoomScaleNormal="70" workbookViewId="0">
      <selection activeCell="O27" sqref="O27"/>
    </sheetView>
  </sheetViews>
  <sheetFormatPr defaultRowHeight="14.4" x14ac:dyDescent="0.3"/>
  <cols>
    <col min="1" max="1" width="8.88671875" style="17"/>
    <col min="2" max="2" width="16.33203125" style="1" customWidth="1"/>
    <col min="3" max="3" width="8.88671875" style="1"/>
    <col min="4" max="4" width="25.5546875" style="1" customWidth="1"/>
    <col min="5" max="5" width="12.21875" style="1" bestFit="1" customWidth="1"/>
    <col min="6" max="6" width="20.6640625" style="1" customWidth="1"/>
    <col min="7" max="7" width="18.33203125" style="1" customWidth="1"/>
    <col min="8" max="8" width="14.77734375" style="1" customWidth="1"/>
    <col min="9" max="9" width="28.44140625" style="1" customWidth="1"/>
    <col min="10" max="11" width="8.88671875" style="1"/>
    <col min="12" max="12" width="9.21875" style="1" bestFit="1" customWidth="1"/>
    <col min="13" max="13" width="12.77734375" style="1" bestFit="1" customWidth="1"/>
    <col min="14" max="15" width="15.33203125" style="1" bestFit="1" customWidth="1"/>
    <col min="16" max="16" width="12.33203125" style="1" customWidth="1"/>
    <col min="17" max="17" width="10.44140625" style="1" customWidth="1"/>
    <col min="18" max="20" width="8.88671875" style="1"/>
    <col min="21" max="21" width="12.5546875" style="1" bestFit="1" customWidth="1"/>
    <col min="22" max="22" width="4.77734375" style="1" customWidth="1"/>
    <col min="23" max="23" width="12.5546875" style="1" bestFit="1" customWidth="1"/>
    <col min="24" max="24" width="4.33203125" style="1" customWidth="1"/>
    <col min="25" max="25" width="12.5546875" style="1" bestFit="1" customWidth="1"/>
    <col min="26" max="26" width="3.33203125" style="1" customWidth="1"/>
    <col min="27" max="27" width="14.109375" style="1" customWidth="1"/>
    <col min="28" max="16384" width="8.88671875" style="1"/>
  </cols>
  <sheetData>
    <row r="4" spans="1:27" s="17" customFormat="1" ht="43.2" x14ac:dyDescent="0.3">
      <c r="B4" s="18" t="s">
        <v>37</v>
      </c>
      <c r="C4" s="18" t="s">
        <v>36</v>
      </c>
      <c r="D4" s="2" t="s">
        <v>0</v>
      </c>
      <c r="E4" s="2" t="s">
        <v>1</v>
      </c>
      <c r="F4" s="2" t="s">
        <v>41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45</v>
      </c>
      <c r="N4" s="2" t="s">
        <v>46</v>
      </c>
      <c r="O4" s="2" t="s">
        <v>8</v>
      </c>
      <c r="P4" s="2" t="s">
        <v>35</v>
      </c>
      <c r="Q4" s="2" t="s">
        <v>9</v>
      </c>
      <c r="R4" s="2" t="s">
        <v>10</v>
      </c>
      <c r="S4" s="2" t="s">
        <v>11</v>
      </c>
      <c r="T4" s="2" t="s">
        <v>12</v>
      </c>
      <c r="U4" s="2" t="s">
        <v>13</v>
      </c>
      <c r="V4" s="2" t="s">
        <v>47</v>
      </c>
      <c r="W4" s="2" t="s">
        <v>14</v>
      </c>
      <c r="X4" s="2" t="s">
        <v>47</v>
      </c>
      <c r="Y4" s="2" t="s">
        <v>15</v>
      </c>
      <c r="Z4" s="2" t="s">
        <v>47</v>
      </c>
      <c r="AA4" s="2" t="s">
        <v>48</v>
      </c>
    </row>
    <row r="5" spans="1:27" s="19" customFormat="1" ht="72" x14ac:dyDescent="0.3">
      <c r="A5" s="19" t="s">
        <v>28</v>
      </c>
      <c r="B5" s="20" t="s">
        <v>42</v>
      </c>
      <c r="C5" s="20" t="s">
        <v>49</v>
      </c>
      <c r="D5" s="2" t="s">
        <v>49</v>
      </c>
      <c r="E5" s="4" t="s">
        <v>50</v>
      </c>
      <c r="F5" s="4" t="s">
        <v>27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43</v>
      </c>
      <c r="L5" s="4" t="s">
        <v>27</v>
      </c>
      <c r="M5" s="4" t="s">
        <v>27</v>
      </c>
      <c r="N5" s="4" t="s">
        <v>27</v>
      </c>
      <c r="O5" s="4" t="s">
        <v>27</v>
      </c>
      <c r="P5" s="2" t="s">
        <v>31</v>
      </c>
      <c r="Q5" s="2" t="s">
        <v>31</v>
      </c>
      <c r="R5" s="2" t="s">
        <v>26</v>
      </c>
      <c r="S5" s="2" t="s">
        <v>26</v>
      </c>
      <c r="T5" s="2" t="s">
        <v>26</v>
      </c>
      <c r="U5" s="4" t="s">
        <v>27</v>
      </c>
      <c r="V5" s="2" t="s">
        <v>31</v>
      </c>
      <c r="W5" s="4" t="s">
        <v>27</v>
      </c>
      <c r="X5" s="2" t="s">
        <v>31</v>
      </c>
      <c r="Y5" s="4" t="s">
        <v>27</v>
      </c>
      <c r="Z5" s="2" t="s">
        <v>31</v>
      </c>
      <c r="AA5" s="18" t="s">
        <v>32</v>
      </c>
    </row>
    <row r="6" spans="1:27" x14ac:dyDescent="0.3">
      <c r="A6" s="17" t="s">
        <v>33</v>
      </c>
      <c r="B6" s="5" t="s">
        <v>39</v>
      </c>
      <c r="C6" s="5" t="s">
        <v>38</v>
      </c>
      <c r="D6" s="5" t="s">
        <v>22</v>
      </c>
      <c r="E6" s="6" t="s">
        <v>29</v>
      </c>
      <c r="F6" s="6" t="s">
        <v>30</v>
      </c>
      <c r="G6" s="5" t="s">
        <v>23</v>
      </c>
      <c r="H6" s="5" t="s">
        <v>16</v>
      </c>
      <c r="I6" s="5" t="s">
        <v>24</v>
      </c>
      <c r="J6" s="9" t="s">
        <v>17</v>
      </c>
      <c r="K6" s="9" t="s">
        <v>25</v>
      </c>
      <c r="L6" s="10">
        <v>1</v>
      </c>
      <c r="M6" s="10">
        <f>N6/5</f>
        <v>3600000</v>
      </c>
      <c r="N6" s="13">
        <v>18000000</v>
      </c>
      <c r="O6" s="13">
        <v>18000000</v>
      </c>
      <c r="P6" s="13"/>
      <c r="Q6" s="3"/>
      <c r="R6" s="14">
        <v>0.3</v>
      </c>
      <c r="S6" s="14">
        <v>0.4</v>
      </c>
      <c r="T6" s="14">
        <v>0.3</v>
      </c>
      <c r="U6" s="21">
        <f>O6*R6</f>
        <v>5400000</v>
      </c>
      <c r="V6" s="21"/>
      <c r="W6" s="21">
        <f>O6*S6</f>
        <v>7200000</v>
      </c>
      <c r="X6" s="21"/>
      <c r="Y6" s="21">
        <f>O6*T6</f>
        <v>5400000</v>
      </c>
      <c r="Z6" s="5"/>
      <c r="AA6" s="5"/>
    </row>
    <row r="7" spans="1:27" x14ac:dyDescent="0.3">
      <c r="A7" s="17" t="s">
        <v>34</v>
      </c>
      <c r="B7" s="5" t="s">
        <v>39</v>
      </c>
      <c r="C7" s="5" t="s">
        <v>40</v>
      </c>
      <c r="D7" s="5" t="s">
        <v>19</v>
      </c>
      <c r="E7" s="7">
        <v>45992</v>
      </c>
      <c r="F7" s="8">
        <v>2250019144</v>
      </c>
      <c r="G7" s="5" t="s">
        <v>20</v>
      </c>
      <c r="H7" s="5" t="s">
        <v>16</v>
      </c>
      <c r="I7" s="5" t="s">
        <v>21</v>
      </c>
      <c r="J7" s="9" t="s">
        <v>17</v>
      </c>
      <c r="K7" s="9" t="s">
        <v>18</v>
      </c>
      <c r="L7" s="10">
        <v>2</v>
      </c>
      <c r="M7" s="10">
        <f>N7</f>
        <v>3800000</v>
      </c>
      <c r="N7" s="12">
        <v>3800000</v>
      </c>
      <c r="O7" s="12">
        <f>N7*L7</f>
        <v>7600000</v>
      </c>
      <c r="P7" s="12"/>
      <c r="Q7" s="3"/>
      <c r="R7" s="14">
        <v>0</v>
      </c>
      <c r="S7" s="14">
        <v>0.8</v>
      </c>
      <c r="T7" s="14">
        <v>0.2</v>
      </c>
      <c r="U7" s="21">
        <f>O7*R7</f>
        <v>0</v>
      </c>
      <c r="V7" s="21"/>
      <c r="W7" s="21">
        <f>O7*S7</f>
        <v>6080000</v>
      </c>
      <c r="X7" s="21"/>
      <c r="Y7" s="21">
        <f>O7*T7</f>
        <v>1520000</v>
      </c>
      <c r="Z7" s="5"/>
      <c r="AA7" s="5"/>
    </row>
    <row r="8" spans="1:27" x14ac:dyDescent="0.3">
      <c r="D8" s="11"/>
    </row>
    <row r="10" spans="1:27" x14ac:dyDescent="0.3">
      <c r="B10" s="16" t="s">
        <v>44</v>
      </c>
      <c r="C10" s="15"/>
      <c r="D10" s="15"/>
      <c r="E10" s="1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alisonchen 陳宜雯</dc:creator>
  <cp:lastModifiedBy>alisonchen 陳宜雯</cp:lastModifiedBy>
  <dcterms:created xsi:type="dcterms:W3CDTF">2026-05-20T07:27:08Z</dcterms:created>
  <dcterms:modified xsi:type="dcterms:W3CDTF">2026-05-20T08:55:06Z</dcterms:modified>
</cp:coreProperties>
</file>