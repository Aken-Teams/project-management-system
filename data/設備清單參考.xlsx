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2557\Desktop\"/>
    </mc:Choice>
  </mc:AlternateContent>
  <xr:revisionPtr revIDLastSave="0" documentId="8_{FD19CDE4-023F-4F01-84D8-EF83BD82DCD9}" xr6:coauthVersionLast="47" xr6:coauthVersionMax="47" xr10:uidLastSave="{00000000-0000-0000-0000-000000000000}"/>
  <bookViews>
    <workbookView xWindow="-110" yWindow="-110" windowWidth="19420" windowHeight="10420" xr2:uid="{72DFCDD7-316E-49DD-83B4-3A89AC6170B5}"/>
  </bookViews>
  <sheets>
    <sheet name="投資金額、產能、人工計算" sheetId="1" r:id="rId1"/>
  </sheets>
  <externalReferences>
    <externalReference r:id="rId2"/>
    <externalReference r:id="rId3"/>
  </externalReferences>
  <definedNames>
    <definedName name="_xlnm._FilterDatabase" localSheetId="0" hidden="1">'投資金額、產能、人工計算'!$B$5:$AB$127</definedName>
    <definedName name="A">#REF!</definedName>
    <definedName name="AS">#REF!</definedName>
    <definedName name="HG">#REF!</definedName>
    <definedName name="PACKAGE">[2]各站各產品UPH清單!$B$20:$B$1525</definedName>
    <definedName name="Package_List">'[2]Package 清單 250414'!$C$2:$C$39</definedName>
    <definedName name="W">#REF!</definedName>
    <definedName name="销售毛利润汇总表">#REF!</definedName>
    <definedName name="線材_點膠針頭數">[2]各站各產品UPH清單!$J$20:$J$1525</definedName>
    <definedName name="線數_晶粒數">[2]各站各產品UPH清單!$I$20:$I$1525</definedName>
    <definedName name="機型">[2]各站各產品UPH清單!$G$20:$G$1525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3" i="1" l="1"/>
  <c r="N122" i="1"/>
  <c r="L122" i="1"/>
  <c r="M121" i="1"/>
  <c r="H121" i="1"/>
  <c r="M120" i="1"/>
  <c r="H120" i="1"/>
  <c r="F120" i="1"/>
  <c r="X119" i="1"/>
  <c r="Y119" i="1" s="1"/>
  <c r="U119" i="1"/>
  <c r="V119" i="1" s="1"/>
  <c r="W119" i="1" s="1"/>
  <c r="T119" i="1"/>
  <c r="S119" i="1"/>
  <c r="F119" i="1"/>
  <c r="M119" i="1" s="1"/>
  <c r="M117" i="1"/>
  <c r="H117" i="1"/>
  <c r="U116" i="1"/>
  <c r="V116" i="1" s="1"/>
  <c r="T116" i="1"/>
  <c r="S116" i="1"/>
  <c r="M116" i="1"/>
  <c r="H116" i="1"/>
  <c r="X115" i="1"/>
  <c r="U115" i="1"/>
  <c r="V115" i="1" s="1"/>
  <c r="T115" i="1"/>
  <c r="S115" i="1"/>
  <c r="F115" i="1"/>
  <c r="M115" i="1" s="1"/>
  <c r="X114" i="1"/>
  <c r="U114" i="1"/>
  <c r="V114" i="1" s="1"/>
  <c r="T114" i="1"/>
  <c r="S114" i="1"/>
  <c r="F114" i="1"/>
  <c r="M114" i="1" s="1"/>
  <c r="X113" i="1"/>
  <c r="U113" i="1"/>
  <c r="V113" i="1" s="1"/>
  <c r="T113" i="1"/>
  <c r="S113" i="1"/>
  <c r="F113" i="1"/>
  <c r="M113" i="1" s="1"/>
  <c r="X112" i="1"/>
  <c r="Y112" i="1" s="1"/>
  <c r="V112" i="1"/>
  <c r="U112" i="1"/>
  <c r="S112" i="1"/>
  <c r="T112" i="1" s="1"/>
  <c r="M112" i="1"/>
  <c r="F112" i="1"/>
  <c r="H112" i="1" s="1"/>
  <c r="M110" i="1"/>
  <c r="H110" i="1"/>
  <c r="X109" i="1"/>
  <c r="U109" i="1"/>
  <c r="V109" i="1" s="1"/>
  <c r="T109" i="1"/>
  <c r="S109" i="1"/>
  <c r="F109" i="1"/>
  <c r="M109" i="1" s="1"/>
  <c r="X108" i="1"/>
  <c r="U108" i="1"/>
  <c r="V108" i="1" s="1"/>
  <c r="T108" i="1"/>
  <c r="S108" i="1"/>
  <c r="F108" i="1"/>
  <c r="M108" i="1" s="1"/>
  <c r="M107" i="1"/>
  <c r="H107" i="1"/>
  <c r="X106" i="1"/>
  <c r="Y106" i="1" s="1"/>
  <c r="U106" i="1"/>
  <c r="V106" i="1" s="1"/>
  <c r="T106" i="1"/>
  <c r="S106" i="1"/>
  <c r="P106" i="1"/>
  <c r="M106" i="1"/>
  <c r="H106" i="1"/>
  <c r="F106" i="1"/>
  <c r="M104" i="1"/>
  <c r="H104" i="1"/>
  <c r="X103" i="1"/>
  <c r="Y102" i="1" s="1"/>
  <c r="V103" i="1"/>
  <c r="U103" i="1"/>
  <c r="S103" i="1"/>
  <c r="T103" i="1" s="1"/>
  <c r="F103" i="1"/>
  <c r="M103" i="1" s="1"/>
  <c r="X102" i="1"/>
  <c r="U102" i="1"/>
  <c r="V102" i="1" s="1"/>
  <c r="W102" i="1" s="1"/>
  <c r="S102" i="1"/>
  <c r="T102" i="1" s="1"/>
  <c r="H102" i="1"/>
  <c r="F102" i="1"/>
  <c r="M102" i="1" s="1"/>
  <c r="M100" i="1"/>
  <c r="H100" i="1"/>
  <c r="X99" i="1"/>
  <c r="U99" i="1"/>
  <c r="V99" i="1" s="1"/>
  <c r="S99" i="1"/>
  <c r="T99" i="1" s="1"/>
  <c r="M99" i="1"/>
  <c r="F99" i="1"/>
  <c r="H99" i="1" s="1"/>
  <c r="X98" i="1"/>
  <c r="U98" i="1"/>
  <c r="V98" i="1" s="1"/>
  <c r="S98" i="1"/>
  <c r="T98" i="1" s="1"/>
  <c r="M98" i="1"/>
  <c r="F98" i="1"/>
  <c r="H98" i="1" s="1"/>
  <c r="X97" i="1"/>
  <c r="U97" i="1"/>
  <c r="V97" i="1" s="1"/>
  <c r="S97" i="1"/>
  <c r="T97" i="1" s="1"/>
  <c r="M97" i="1"/>
  <c r="F97" i="1"/>
  <c r="H97" i="1" s="1"/>
  <c r="X96" i="1"/>
  <c r="U96" i="1"/>
  <c r="V96" i="1" s="1"/>
  <c r="S96" i="1"/>
  <c r="T96" i="1" s="1"/>
  <c r="M96" i="1"/>
  <c r="F96" i="1"/>
  <c r="H96" i="1" s="1"/>
  <c r="Y95" i="1"/>
  <c r="X95" i="1"/>
  <c r="U95" i="1"/>
  <c r="V95" i="1" s="1"/>
  <c r="T95" i="1"/>
  <c r="S95" i="1"/>
  <c r="M95" i="1"/>
  <c r="H95" i="1"/>
  <c r="F95" i="1"/>
  <c r="M93" i="1"/>
  <c r="H93" i="1"/>
  <c r="X92" i="1"/>
  <c r="V92" i="1"/>
  <c r="U92" i="1"/>
  <c r="S92" i="1"/>
  <c r="T92" i="1" s="1"/>
  <c r="H92" i="1"/>
  <c r="F92" i="1"/>
  <c r="M92" i="1" s="1"/>
  <c r="X91" i="1"/>
  <c r="V91" i="1"/>
  <c r="U91" i="1"/>
  <c r="S91" i="1"/>
  <c r="T91" i="1" s="1"/>
  <c r="H91" i="1"/>
  <c r="F91" i="1"/>
  <c r="M91" i="1" s="1"/>
  <c r="Y90" i="1"/>
  <c r="X90" i="1"/>
  <c r="U90" i="1"/>
  <c r="V90" i="1" s="1"/>
  <c r="W90" i="1" s="1"/>
  <c r="S90" i="1"/>
  <c r="T90" i="1" s="1"/>
  <c r="H90" i="1"/>
  <c r="F90" i="1"/>
  <c r="M90" i="1" s="1"/>
  <c r="M88" i="1"/>
  <c r="H88" i="1"/>
  <c r="X87" i="1"/>
  <c r="U87" i="1"/>
  <c r="V87" i="1" s="1"/>
  <c r="S87" i="1"/>
  <c r="T87" i="1" s="1"/>
  <c r="M87" i="1"/>
  <c r="F87" i="1"/>
  <c r="H87" i="1" s="1"/>
  <c r="X86" i="1"/>
  <c r="U86" i="1"/>
  <c r="V86" i="1" s="1"/>
  <c r="S86" i="1"/>
  <c r="T86" i="1" s="1"/>
  <c r="M86" i="1"/>
  <c r="F86" i="1"/>
  <c r="H86" i="1" s="1"/>
  <c r="X85" i="1"/>
  <c r="U85" i="1"/>
  <c r="V85" i="1" s="1"/>
  <c r="S85" i="1"/>
  <c r="T85" i="1" s="1"/>
  <c r="M85" i="1"/>
  <c r="F85" i="1"/>
  <c r="H85" i="1" s="1"/>
  <c r="X84" i="1"/>
  <c r="U84" i="1"/>
  <c r="V84" i="1" s="1"/>
  <c r="S84" i="1"/>
  <c r="T84" i="1" s="1"/>
  <c r="M84" i="1"/>
  <c r="F84" i="1"/>
  <c r="H84" i="1" s="1"/>
  <c r="X83" i="1"/>
  <c r="U83" i="1"/>
  <c r="V83" i="1" s="1"/>
  <c r="S83" i="1"/>
  <c r="T83" i="1" s="1"/>
  <c r="M83" i="1"/>
  <c r="F83" i="1"/>
  <c r="H83" i="1" s="1"/>
  <c r="X82" i="1"/>
  <c r="U82" i="1"/>
  <c r="V82" i="1" s="1"/>
  <c r="S82" i="1"/>
  <c r="T82" i="1" s="1"/>
  <c r="M82" i="1"/>
  <c r="F82" i="1"/>
  <c r="H82" i="1" s="1"/>
  <c r="X81" i="1"/>
  <c r="U81" i="1"/>
  <c r="V81" i="1" s="1"/>
  <c r="S81" i="1"/>
  <c r="T81" i="1" s="1"/>
  <c r="M81" i="1"/>
  <c r="F81" i="1"/>
  <c r="H81" i="1" s="1"/>
  <c r="Y80" i="1"/>
  <c r="X80" i="1"/>
  <c r="U80" i="1"/>
  <c r="V80" i="1" s="1"/>
  <c r="T80" i="1"/>
  <c r="S80" i="1"/>
  <c r="M80" i="1"/>
  <c r="H80" i="1"/>
  <c r="F80" i="1"/>
  <c r="M78" i="1"/>
  <c r="H78" i="1"/>
  <c r="M77" i="1"/>
  <c r="H77" i="1"/>
  <c r="M76" i="1"/>
  <c r="H76" i="1"/>
  <c r="X75" i="1"/>
  <c r="U75" i="1"/>
  <c r="V75" i="1" s="1"/>
  <c r="S75" i="1"/>
  <c r="T75" i="1" s="1"/>
  <c r="M75" i="1"/>
  <c r="F75" i="1"/>
  <c r="H75" i="1" s="1"/>
  <c r="X74" i="1"/>
  <c r="U74" i="1"/>
  <c r="V74" i="1" s="1"/>
  <c r="S74" i="1"/>
  <c r="T74" i="1" s="1"/>
  <c r="M74" i="1"/>
  <c r="F74" i="1"/>
  <c r="H74" i="1" s="1"/>
  <c r="X73" i="1"/>
  <c r="Y71" i="1" s="1"/>
  <c r="U73" i="1"/>
  <c r="V73" i="1" s="1"/>
  <c r="S73" i="1"/>
  <c r="T73" i="1" s="1"/>
  <c r="M73" i="1"/>
  <c r="F73" i="1"/>
  <c r="H73" i="1" s="1"/>
  <c r="X72" i="1"/>
  <c r="U72" i="1"/>
  <c r="V72" i="1" s="1"/>
  <c r="S72" i="1"/>
  <c r="T72" i="1" s="1"/>
  <c r="M72" i="1"/>
  <c r="F72" i="1"/>
  <c r="H72" i="1" s="1"/>
  <c r="X71" i="1"/>
  <c r="U71" i="1"/>
  <c r="V71" i="1" s="1"/>
  <c r="T71" i="1"/>
  <c r="S71" i="1"/>
  <c r="M71" i="1"/>
  <c r="H71" i="1"/>
  <c r="F71" i="1"/>
  <c r="M69" i="1"/>
  <c r="H69" i="1"/>
  <c r="M68" i="1"/>
  <c r="H68" i="1"/>
  <c r="M67" i="1"/>
  <c r="H67" i="1"/>
  <c r="M66" i="1"/>
  <c r="F66" i="1"/>
  <c r="H66" i="1" s="1"/>
  <c r="X65" i="1"/>
  <c r="V65" i="1"/>
  <c r="U65" i="1"/>
  <c r="S65" i="1"/>
  <c r="T65" i="1" s="1"/>
  <c r="M65" i="1"/>
  <c r="F65" i="1"/>
  <c r="H65" i="1" s="1"/>
  <c r="P64" i="1"/>
  <c r="S64" i="1" s="1"/>
  <c r="T64" i="1" s="1"/>
  <c r="H64" i="1"/>
  <c r="F64" i="1"/>
  <c r="M64" i="1" s="1"/>
  <c r="X63" i="1"/>
  <c r="S63" i="1"/>
  <c r="T63" i="1" s="1"/>
  <c r="P63" i="1"/>
  <c r="U63" i="1" s="1"/>
  <c r="V63" i="1" s="1"/>
  <c r="F63" i="1"/>
  <c r="M63" i="1" s="1"/>
  <c r="X62" i="1"/>
  <c r="U62" i="1"/>
  <c r="V62" i="1" s="1"/>
  <c r="T62" i="1"/>
  <c r="S62" i="1"/>
  <c r="F62" i="1"/>
  <c r="M62" i="1" s="1"/>
  <c r="X61" i="1"/>
  <c r="U61" i="1"/>
  <c r="V61" i="1" s="1"/>
  <c r="T61" i="1"/>
  <c r="S61" i="1"/>
  <c r="F61" i="1"/>
  <c r="M61" i="1" s="1"/>
  <c r="P60" i="1"/>
  <c r="U60" i="1" s="1"/>
  <c r="V60" i="1" s="1"/>
  <c r="M60" i="1"/>
  <c r="F60" i="1"/>
  <c r="H60" i="1" s="1"/>
  <c r="M58" i="1"/>
  <c r="H58" i="1"/>
  <c r="M57" i="1"/>
  <c r="H57" i="1"/>
  <c r="M56" i="1"/>
  <c r="H56" i="1"/>
  <c r="M55" i="1"/>
  <c r="H55" i="1"/>
  <c r="M54" i="1"/>
  <c r="H54" i="1"/>
  <c r="X53" i="1"/>
  <c r="U53" i="1"/>
  <c r="V53" i="1" s="1"/>
  <c r="T53" i="1"/>
  <c r="S53" i="1"/>
  <c r="M53" i="1"/>
  <c r="H53" i="1"/>
  <c r="F53" i="1"/>
  <c r="X52" i="1"/>
  <c r="U52" i="1"/>
  <c r="V52" i="1" s="1"/>
  <c r="T52" i="1"/>
  <c r="S52" i="1"/>
  <c r="M52" i="1"/>
  <c r="H52" i="1"/>
  <c r="F52" i="1"/>
  <c r="X51" i="1"/>
  <c r="U51" i="1"/>
  <c r="V51" i="1" s="1"/>
  <c r="T51" i="1"/>
  <c r="S51" i="1"/>
  <c r="M51" i="1"/>
  <c r="H51" i="1"/>
  <c r="F51" i="1"/>
  <c r="X50" i="1"/>
  <c r="U50" i="1"/>
  <c r="V50" i="1" s="1"/>
  <c r="T50" i="1"/>
  <c r="S50" i="1"/>
  <c r="M50" i="1"/>
  <c r="H50" i="1"/>
  <c r="F50" i="1"/>
  <c r="X49" i="1"/>
  <c r="U49" i="1"/>
  <c r="V49" i="1" s="1"/>
  <c r="P49" i="1"/>
  <c r="S49" i="1" s="1"/>
  <c r="T49" i="1" s="1"/>
  <c r="M49" i="1"/>
  <c r="F49" i="1"/>
  <c r="H49" i="1" s="1"/>
  <c r="X48" i="1"/>
  <c r="Y48" i="1" s="1"/>
  <c r="U48" i="1"/>
  <c r="V48" i="1" s="1"/>
  <c r="T48" i="1"/>
  <c r="S48" i="1"/>
  <c r="F48" i="1"/>
  <c r="M48" i="1" s="1"/>
  <c r="M46" i="1"/>
  <c r="H46" i="1"/>
  <c r="M45" i="1"/>
  <c r="H45" i="1"/>
  <c r="X44" i="1"/>
  <c r="V44" i="1"/>
  <c r="U44" i="1"/>
  <c r="T44" i="1"/>
  <c r="S44" i="1"/>
  <c r="F44" i="1"/>
  <c r="H44" i="1" s="1"/>
  <c r="X43" i="1"/>
  <c r="V43" i="1"/>
  <c r="U43" i="1"/>
  <c r="T43" i="1"/>
  <c r="S43" i="1"/>
  <c r="F43" i="1"/>
  <c r="H43" i="1" s="1"/>
  <c r="X42" i="1"/>
  <c r="V42" i="1"/>
  <c r="U42" i="1"/>
  <c r="T42" i="1"/>
  <c r="S42" i="1"/>
  <c r="F42" i="1"/>
  <c r="H42" i="1" s="1"/>
  <c r="X41" i="1"/>
  <c r="V41" i="1"/>
  <c r="U41" i="1"/>
  <c r="T41" i="1"/>
  <c r="S41" i="1"/>
  <c r="F41" i="1"/>
  <c r="H41" i="1" s="1"/>
  <c r="X40" i="1"/>
  <c r="V40" i="1"/>
  <c r="U40" i="1"/>
  <c r="T40" i="1"/>
  <c r="S40" i="1"/>
  <c r="F40" i="1"/>
  <c r="H40" i="1" s="1"/>
  <c r="X39" i="1"/>
  <c r="V39" i="1"/>
  <c r="U39" i="1"/>
  <c r="T39" i="1"/>
  <c r="S39" i="1"/>
  <c r="F39" i="1"/>
  <c r="H39" i="1" s="1"/>
  <c r="X38" i="1"/>
  <c r="V38" i="1"/>
  <c r="U38" i="1"/>
  <c r="T38" i="1"/>
  <c r="S38" i="1"/>
  <c r="F38" i="1"/>
  <c r="H38" i="1" s="1"/>
  <c r="X37" i="1"/>
  <c r="V37" i="1"/>
  <c r="U37" i="1"/>
  <c r="T37" i="1"/>
  <c r="S37" i="1"/>
  <c r="F37" i="1"/>
  <c r="H37" i="1" s="1"/>
  <c r="X36" i="1"/>
  <c r="V36" i="1"/>
  <c r="U36" i="1"/>
  <c r="T36" i="1"/>
  <c r="S36" i="1"/>
  <c r="F36" i="1"/>
  <c r="H36" i="1" s="1"/>
  <c r="X35" i="1"/>
  <c r="V35" i="1"/>
  <c r="U35" i="1"/>
  <c r="T35" i="1"/>
  <c r="S35" i="1"/>
  <c r="F35" i="1"/>
  <c r="H35" i="1" s="1"/>
  <c r="X34" i="1"/>
  <c r="U34" i="1"/>
  <c r="V34" i="1" s="1"/>
  <c r="T34" i="1"/>
  <c r="S34" i="1"/>
  <c r="F34" i="1"/>
  <c r="H34" i="1" s="1"/>
  <c r="X33" i="1"/>
  <c r="U33" i="1"/>
  <c r="V33" i="1" s="1"/>
  <c r="T33" i="1"/>
  <c r="S33" i="1"/>
  <c r="F33" i="1"/>
  <c r="H33" i="1" s="1"/>
  <c r="X32" i="1"/>
  <c r="U32" i="1"/>
  <c r="V32" i="1" s="1"/>
  <c r="T32" i="1"/>
  <c r="S32" i="1"/>
  <c r="F32" i="1"/>
  <c r="H32" i="1" s="1"/>
  <c r="X31" i="1"/>
  <c r="Y31" i="1" s="1"/>
  <c r="V31" i="1"/>
  <c r="U31" i="1"/>
  <c r="S31" i="1"/>
  <c r="T31" i="1" s="1"/>
  <c r="M31" i="1"/>
  <c r="F31" i="1"/>
  <c r="H31" i="1" s="1"/>
  <c r="M29" i="1"/>
  <c r="H29" i="1"/>
  <c r="M28" i="1"/>
  <c r="H28" i="1"/>
  <c r="M27" i="1"/>
  <c r="H27" i="1"/>
  <c r="C125" i="1" s="1"/>
  <c r="X26" i="1"/>
  <c r="U26" i="1"/>
  <c r="V26" i="1" s="1"/>
  <c r="T26" i="1"/>
  <c r="S26" i="1"/>
  <c r="F26" i="1"/>
  <c r="H26" i="1" s="1"/>
  <c r="X25" i="1"/>
  <c r="U25" i="1"/>
  <c r="V25" i="1" s="1"/>
  <c r="T25" i="1"/>
  <c r="S25" i="1"/>
  <c r="F25" i="1"/>
  <c r="H25" i="1" s="1"/>
  <c r="X24" i="1"/>
  <c r="U24" i="1"/>
  <c r="V24" i="1" s="1"/>
  <c r="T24" i="1"/>
  <c r="S24" i="1"/>
  <c r="F24" i="1"/>
  <c r="H24" i="1" s="1"/>
  <c r="X23" i="1"/>
  <c r="U23" i="1"/>
  <c r="V23" i="1" s="1"/>
  <c r="T23" i="1"/>
  <c r="S23" i="1"/>
  <c r="F23" i="1"/>
  <c r="H23" i="1" s="1"/>
  <c r="X22" i="1"/>
  <c r="U22" i="1"/>
  <c r="V22" i="1" s="1"/>
  <c r="T22" i="1"/>
  <c r="S22" i="1"/>
  <c r="F22" i="1"/>
  <c r="H22" i="1" s="1"/>
  <c r="X21" i="1"/>
  <c r="U21" i="1"/>
  <c r="V21" i="1" s="1"/>
  <c r="T21" i="1"/>
  <c r="S21" i="1"/>
  <c r="F21" i="1"/>
  <c r="H21" i="1" s="1"/>
  <c r="X20" i="1"/>
  <c r="U20" i="1"/>
  <c r="V20" i="1" s="1"/>
  <c r="T20" i="1"/>
  <c r="S20" i="1"/>
  <c r="F20" i="1"/>
  <c r="H20" i="1" s="1"/>
  <c r="X19" i="1"/>
  <c r="U19" i="1"/>
  <c r="V19" i="1" s="1"/>
  <c r="T19" i="1"/>
  <c r="S19" i="1"/>
  <c r="F19" i="1"/>
  <c r="H19" i="1" s="1"/>
  <c r="X18" i="1"/>
  <c r="Y18" i="1" s="1"/>
  <c r="V18" i="1"/>
  <c r="U18" i="1"/>
  <c r="S18" i="1"/>
  <c r="T18" i="1" s="1"/>
  <c r="M18" i="1"/>
  <c r="F18" i="1"/>
  <c r="H18" i="1" s="1"/>
  <c r="M16" i="1"/>
  <c r="H16" i="1"/>
  <c r="X15" i="1"/>
  <c r="U15" i="1"/>
  <c r="V15" i="1" s="1"/>
  <c r="T15" i="1"/>
  <c r="S15" i="1"/>
  <c r="F15" i="1"/>
  <c r="H15" i="1" s="1"/>
  <c r="X14" i="1"/>
  <c r="U14" i="1"/>
  <c r="V14" i="1" s="1"/>
  <c r="T14" i="1"/>
  <c r="S14" i="1"/>
  <c r="F14" i="1"/>
  <c r="M14" i="1" s="1"/>
  <c r="X13" i="1"/>
  <c r="U13" i="1"/>
  <c r="V13" i="1" s="1"/>
  <c r="T13" i="1"/>
  <c r="S13" i="1"/>
  <c r="F13" i="1"/>
  <c r="M13" i="1" s="1"/>
  <c r="X12" i="1"/>
  <c r="U12" i="1"/>
  <c r="V12" i="1" s="1"/>
  <c r="T12" i="1"/>
  <c r="S12" i="1"/>
  <c r="F12" i="1"/>
  <c r="H12" i="1" s="1"/>
  <c r="X11" i="1"/>
  <c r="U11" i="1"/>
  <c r="V11" i="1" s="1"/>
  <c r="T11" i="1"/>
  <c r="S11" i="1"/>
  <c r="F11" i="1"/>
  <c r="M11" i="1" s="1"/>
  <c r="Y10" i="1"/>
  <c r="X10" i="1"/>
  <c r="V10" i="1"/>
  <c r="U10" i="1"/>
  <c r="S10" i="1"/>
  <c r="T10" i="1" s="1"/>
  <c r="M10" i="1"/>
  <c r="H10" i="1"/>
  <c r="F10" i="1"/>
  <c r="M8" i="1"/>
  <c r="H8" i="1"/>
  <c r="C126" i="1" s="1"/>
  <c r="X7" i="1"/>
  <c r="U7" i="1"/>
  <c r="V7" i="1" s="1"/>
  <c r="T7" i="1"/>
  <c r="S7" i="1"/>
  <c r="F7" i="1"/>
  <c r="H7" i="1" s="1"/>
  <c r="Y6" i="1"/>
  <c r="X6" i="1"/>
  <c r="V6" i="1"/>
  <c r="U6" i="1"/>
  <c r="S6" i="1"/>
  <c r="T6" i="1" s="1"/>
  <c r="M6" i="1"/>
  <c r="H6" i="1"/>
  <c r="F6" i="1"/>
  <c r="W71" i="1" l="1"/>
  <c r="W31" i="1"/>
  <c r="W112" i="1"/>
  <c r="W10" i="1"/>
  <c r="W95" i="1"/>
  <c r="W60" i="1"/>
  <c r="C124" i="1"/>
  <c r="C127" i="1" s="1"/>
  <c r="T122" i="1"/>
  <c r="W80" i="1"/>
  <c r="W6" i="1"/>
  <c r="W18" i="1"/>
  <c r="W48" i="1"/>
  <c r="W106" i="1"/>
  <c r="H113" i="1"/>
  <c r="H114" i="1"/>
  <c r="H115" i="1"/>
  <c r="H119" i="1"/>
  <c r="M7" i="1"/>
  <c r="M122" i="1" s="1"/>
  <c r="C130" i="1" s="1"/>
  <c r="M19" i="1"/>
  <c r="M20" i="1"/>
  <c r="M21" i="1"/>
  <c r="M22" i="1"/>
  <c r="M23" i="1"/>
  <c r="M24" i="1"/>
  <c r="M25" i="1"/>
  <c r="M26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X60" i="1"/>
  <c r="U64" i="1"/>
  <c r="V64" i="1" s="1"/>
  <c r="H13" i="1"/>
  <c r="H48" i="1"/>
  <c r="S60" i="1"/>
  <c r="T60" i="1" s="1"/>
  <c r="H61" i="1"/>
  <c r="H62" i="1"/>
  <c r="H63" i="1"/>
  <c r="X64" i="1"/>
  <c r="H108" i="1"/>
  <c r="H109" i="1"/>
  <c r="H11" i="1"/>
  <c r="H122" i="1" s="1"/>
  <c r="H14" i="1"/>
  <c r="M12" i="1"/>
  <c r="M15" i="1"/>
  <c r="H103" i="1"/>
  <c r="Y6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bryanqiu 邱易柏</author>
  </authors>
  <commentList>
    <comment ref="C60" authorId="0" shapeId="0" xr:uid="{ED0FEEE4-05DD-4DD3-9910-A7F79E917AE7}">
      <text>
        <r>
          <rPr>
            <b/>
            <sz val="9"/>
            <color indexed="81"/>
            <rFont val="Tahoma"/>
            <family val="2"/>
          </rPr>
          <t xml:space="preserve">bryanqiu </t>
        </r>
        <r>
          <rPr>
            <b/>
            <sz val="9"/>
            <color indexed="81"/>
            <rFont val="細明體"/>
            <family val="3"/>
            <charset val="136"/>
          </rPr>
          <t>邱易柏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專案系統</t>
        </r>
        <r>
          <rPr>
            <sz val="9"/>
            <color indexed="81"/>
            <rFont val="Tahoma"/>
            <family val="2"/>
          </rPr>
          <t>0.3</t>
        </r>
        <r>
          <rPr>
            <sz val="9"/>
            <color indexed="81"/>
            <rFont val="細明體"/>
            <family val="3"/>
            <charset val="136"/>
          </rPr>
          <t xml:space="preserve">有誤
</t>
        </r>
      </text>
    </comment>
    <comment ref="C63" authorId="0" shapeId="0" xr:uid="{2E21B6BE-2014-45EF-B61D-2B01DF5BA3A2}">
      <text>
        <r>
          <rPr>
            <b/>
            <sz val="9"/>
            <color indexed="81"/>
            <rFont val="Tahoma"/>
            <family val="2"/>
          </rPr>
          <t xml:space="preserve">bryanqiu </t>
        </r>
        <r>
          <rPr>
            <b/>
            <sz val="9"/>
            <color indexed="81"/>
            <rFont val="細明體"/>
            <family val="3"/>
            <charset val="136"/>
          </rPr>
          <t>邱易柏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專案系統金額有誤
</t>
        </r>
      </text>
    </comment>
    <comment ref="C75" authorId="0" shapeId="0" xr:uid="{3E8848E2-371C-41E2-9224-8E14B6935ECA}">
      <text>
        <r>
          <rPr>
            <b/>
            <sz val="9"/>
            <color indexed="81"/>
            <rFont val="Tahoma"/>
            <family val="2"/>
          </rPr>
          <t xml:space="preserve">bryanqiu </t>
        </r>
        <r>
          <rPr>
            <b/>
            <sz val="9"/>
            <color indexed="81"/>
            <rFont val="細明體"/>
            <family val="3"/>
            <charset val="136"/>
          </rPr>
          <t>邱易柏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專案管理系統金額有誤</t>
        </r>
      </text>
    </comment>
    <comment ref="C106" authorId="0" shapeId="0" xr:uid="{D7CB07AE-77AB-4C49-A363-6B65B1100729}">
      <text>
        <r>
          <rPr>
            <b/>
            <sz val="9"/>
            <color indexed="81"/>
            <rFont val="Tahoma"/>
            <family val="2"/>
          </rPr>
          <t xml:space="preserve">bryanqiu </t>
        </r>
        <r>
          <rPr>
            <b/>
            <sz val="9"/>
            <color indexed="81"/>
            <rFont val="細明體"/>
            <family val="3"/>
            <charset val="136"/>
          </rPr>
          <t>邱易柏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專案系統管理有誤</t>
        </r>
      </text>
    </comment>
  </commentList>
</comments>
</file>

<file path=xl/sharedStrings.xml><?xml version="1.0" encoding="utf-8"?>
<sst xmlns="http://schemas.openxmlformats.org/spreadsheetml/2006/main" count="534" uniqueCount="176">
  <si>
    <t>Package</t>
    <phoneticPr fontId="3" type="noConversion"/>
  </si>
  <si>
    <t>DFN5060XC-8L</t>
    <phoneticPr fontId="3" type="noConversion"/>
  </si>
  <si>
    <t>LF Length</t>
    <phoneticPr fontId="3" type="noConversion"/>
  </si>
  <si>
    <t>Type</t>
    <phoneticPr fontId="3" type="noConversion"/>
  </si>
  <si>
    <t>PJQ5514S6C-AU</t>
    <phoneticPr fontId="3" type="noConversion"/>
  </si>
  <si>
    <t>LF width</t>
    <phoneticPr fontId="3" type="noConversion"/>
  </si>
  <si>
    <t>Plan Day</t>
    <phoneticPr fontId="3" type="noConversion"/>
  </si>
  <si>
    <t>Function</t>
    <phoneticPr fontId="3" type="noConversion"/>
  </si>
  <si>
    <t>MOS</t>
    <phoneticPr fontId="3" type="noConversion"/>
  </si>
  <si>
    <t>Pcs/strip</t>
    <phoneticPr fontId="3" type="noConversion"/>
  </si>
  <si>
    <t>自動代入</t>
    <phoneticPr fontId="3" type="noConversion"/>
  </si>
  <si>
    <t>IE填寫</t>
    <phoneticPr fontId="3" type="noConversion"/>
  </si>
  <si>
    <t>站別</t>
    <phoneticPr fontId="3" type="noConversion"/>
  </si>
  <si>
    <t>製程</t>
    <phoneticPr fontId="3" type="noConversion"/>
  </si>
  <si>
    <t>現有/新購</t>
    <phoneticPr fontId="3" type="noConversion"/>
  </si>
  <si>
    <t>類別</t>
    <phoneticPr fontId="3" type="noConversion"/>
  </si>
  <si>
    <t>數量</t>
    <phoneticPr fontId="3" type="noConversion"/>
  </si>
  <si>
    <t>單價$NTD</t>
    <phoneticPr fontId="3" type="noConversion"/>
  </si>
  <si>
    <t>總費用
$NTD</t>
    <phoneticPr fontId="3" type="noConversion"/>
  </si>
  <si>
    <t>廠牌</t>
    <phoneticPr fontId="3" type="noConversion"/>
  </si>
  <si>
    <t>設備型號</t>
    <phoneticPr fontId="3" type="noConversion"/>
  </si>
  <si>
    <t>設備編號</t>
    <phoneticPr fontId="3" type="noConversion"/>
  </si>
  <si>
    <t>年化維護費用
(水電氣費與保養修繕費)
($NTD/年/台)</t>
    <phoneticPr fontId="3" type="noConversion"/>
  </si>
  <si>
    <t>總年化維護費用
(水電氣費與保養修繕費)
($NTD/年)</t>
    <phoneticPr fontId="3" type="noConversion"/>
  </si>
  <si>
    <t>殘餘折舊 
($NTD/年/台)</t>
    <phoneticPr fontId="3" type="noConversion"/>
  </si>
  <si>
    <t>機台數</t>
    <phoneticPr fontId="3" type="noConversion"/>
  </si>
  <si>
    <t>UPH
(K/H)</t>
    <phoneticPr fontId="3" type="noConversion"/>
  </si>
  <si>
    <t>每日工時
(Hr/日)</t>
    <phoneticPr fontId="3" type="noConversion"/>
  </si>
  <si>
    <t>MMR
(機/人)</t>
    <phoneticPr fontId="3" type="noConversion"/>
  </si>
  <si>
    <t>UPD
(K/D)</t>
    <phoneticPr fontId="3" type="noConversion"/>
  </si>
  <si>
    <t>UPM
K/M</t>
    <phoneticPr fontId="3" type="noConversion"/>
  </si>
  <si>
    <t>PPH
(K/時人)</t>
    <phoneticPr fontId="3" type="noConversion"/>
  </si>
  <si>
    <t>單位
人工時數</t>
    <phoneticPr fontId="3" type="noConversion"/>
  </si>
  <si>
    <t>單位
機器時數</t>
    <phoneticPr fontId="3" type="noConversion"/>
  </si>
  <si>
    <t>備註</t>
    <phoneticPr fontId="3" type="noConversion"/>
  </si>
  <si>
    <t>PB</t>
    <phoneticPr fontId="3" type="noConversion"/>
  </si>
  <si>
    <t>抽點</t>
  </si>
  <si>
    <t>設備</t>
    <phoneticPr fontId="3" type="noConversion"/>
  </si>
  <si>
    <t>全點</t>
  </si>
  <si>
    <t>治具</t>
    <phoneticPr fontId="3" type="noConversion"/>
  </si>
  <si>
    <t xml:space="preserve"> </t>
    <phoneticPr fontId="3" type="noConversion"/>
  </si>
  <si>
    <t>DS</t>
    <phoneticPr fontId="3" type="noConversion"/>
  </si>
  <si>
    <t>晶片刻號標籤</t>
  </si>
  <si>
    <t>晶片貼合</t>
  </si>
  <si>
    <t>全自動晶片貼合</t>
  </si>
  <si>
    <t>切割烘烤</t>
  </si>
  <si>
    <t>全自動晶片切割(Auto)</t>
  </si>
  <si>
    <t>半自動晶片切割</t>
  </si>
  <si>
    <t>DB</t>
    <phoneticPr fontId="3" type="noConversion"/>
  </si>
  <si>
    <t>Eutectic D/B</t>
  </si>
  <si>
    <t>Epoxy D/B</t>
  </si>
  <si>
    <t>銀膠固化</t>
  </si>
  <si>
    <t>絕緣膠固化</t>
  </si>
  <si>
    <t>錫膏網印</t>
  </si>
  <si>
    <t>Solder Paste D/B</t>
  </si>
  <si>
    <t>DB真空焊接爐固化</t>
  </si>
  <si>
    <t>D/B超音波清洗</t>
  </si>
  <si>
    <t>D/B烘烤</t>
  </si>
  <si>
    <t>腳架開模</t>
    <phoneticPr fontId="3" type="noConversion"/>
  </si>
  <si>
    <t>模具</t>
    <phoneticPr fontId="3" type="noConversion"/>
  </si>
  <si>
    <t>焊接彈匣</t>
    <phoneticPr fontId="3" type="noConversion"/>
  </si>
  <si>
    <t>WB</t>
    <phoneticPr fontId="3" type="noConversion"/>
  </si>
  <si>
    <t>W/B電漿清洗 Plasma</t>
    <phoneticPr fontId="3" type="noConversion"/>
  </si>
  <si>
    <t>W/B</t>
    <phoneticPr fontId="10" type="noConversion"/>
  </si>
  <si>
    <t>W/B後電漿清洗 Plasma</t>
  </si>
  <si>
    <t>點膠</t>
  </si>
  <si>
    <t>手工跳線</t>
  </si>
  <si>
    <t>雷射焊接</t>
  </si>
  <si>
    <t>氮氣迴焊爐固化</t>
  </si>
  <si>
    <t>真空焊接爐固化</t>
  </si>
  <si>
    <t>W/B超音波清洗</t>
    <phoneticPr fontId="10" type="noConversion"/>
  </si>
  <si>
    <t>W/B烘烤</t>
  </si>
  <si>
    <t>包膠前電漿清洗 Plasma</t>
  </si>
  <si>
    <t>包膠固化</t>
  </si>
  <si>
    <t>包膠</t>
  </si>
  <si>
    <t>包膠後電漿清洗 Plasma</t>
  </si>
  <si>
    <t>跳線開模</t>
    <phoneticPr fontId="3" type="noConversion"/>
  </si>
  <si>
    <t>DW</t>
    <phoneticPr fontId="3" type="noConversion"/>
  </si>
  <si>
    <t>Eutectic 一貫機</t>
    <phoneticPr fontId="10" type="noConversion"/>
  </si>
  <si>
    <t>Solder 一貫機</t>
    <phoneticPr fontId="10" type="noConversion"/>
  </si>
  <si>
    <t>新購</t>
    <phoneticPr fontId="3" type="noConversion"/>
  </si>
  <si>
    <t>新益昌</t>
  </si>
  <si>
    <t>焊接一貫機(點膠)</t>
    <phoneticPr fontId="3" type="noConversion"/>
  </si>
  <si>
    <t>GCBH-0031、GCBH-0032、GCBH-0033、
GCBH-0034、GCBH-0035</t>
    <phoneticPr fontId="3" type="noConversion"/>
  </si>
  <si>
    <t>粒料作業，仿照PDFN8080 UPH上調至110%</t>
    <phoneticPr fontId="3" type="noConversion"/>
  </si>
  <si>
    <t>DW電漿清洗 Plasma</t>
  </si>
  <si>
    <t>DW真空焊接爐固化</t>
  </si>
  <si>
    <t>DW超音波清洗</t>
  </si>
  <si>
    <t>DW烘烤</t>
  </si>
  <si>
    <t>邦壯</t>
    <phoneticPr fontId="3" type="noConversion"/>
  </si>
  <si>
    <t xml:space="preserve">100x300 mm </t>
    <phoneticPr fontId="3" type="noConversion"/>
  </si>
  <si>
    <t>依據7/20 mail決議使用邦壯報價</t>
    <phoneticPr fontId="3" type="noConversion"/>
  </si>
  <si>
    <t>焊接彈匣開模</t>
    <phoneticPr fontId="3" type="noConversion"/>
  </si>
  <si>
    <t>現有</t>
    <phoneticPr fontId="3" type="noConversion"/>
  </si>
  <si>
    <t>數益</t>
  </si>
  <si>
    <t>仿照TOLL</t>
    <phoneticPr fontId="3" type="noConversion"/>
  </si>
  <si>
    <t>MD</t>
    <phoneticPr fontId="3" type="noConversion"/>
  </si>
  <si>
    <t>Mold電漿清洗 Plasma</t>
  </si>
  <si>
    <t>華天科技</t>
  </si>
  <si>
    <t>電漿清潔機</t>
  </si>
  <si>
    <t>GUCN-0025</t>
    <phoneticPr fontId="15" type="noConversion"/>
  </si>
  <si>
    <t>片料作業，依據PDFN8080 UPH， 進行每條腳架顆數的比例下修</t>
    <phoneticPr fontId="3" type="noConversion"/>
  </si>
  <si>
    <t>C.C Mold</t>
  </si>
  <si>
    <t>M.G.P Mold</t>
    <phoneticPr fontId="10" type="noConversion"/>
  </si>
  <si>
    <t>Auto Mold</t>
  </si>
  <si>
    <t>TOWA</t>
  </si>
  <si>
    <t>一拖四</t>
  </si>
  <si>
    <t>GPRT-0099</t>
  </si>
  <si>
    <t>成型烘烤</t>
  </si>
  <si>
    <r>
      <rPr>
        <sz val="12"/>
        <rFont val="Microsoft JhengHei"/>
        <family val="2"/>
        <charset val="136"/>
      </rPr>
      <t>自動</t>
    </r>
    <r>
      <rPr>
        <sz val="12"/>
        <rFont val="微軟正黑體"/>
        <family val="2"/>
        <charset val="136"/>
      </rPr>
      <t>撕膠機</t>
    </r>
    <phoneticPr fontId="3" type="noConversion"/>
  </si>
  <si>
    <t>成型模具</t>
    <phoneticPr fontId="3" type="noConversion"/>
  </si>
  <si>
    <t>模具一副</t>
  </si>
  <si>
    <t>依據PDFN8080 UPH， 進行每條腳架顆數的比例下修</t>
    <phoneticPr fontId="3" type="noConversion"/>
  </si>
  <si>
    <t>紙腳架模具</t>
    <phoneticPr fontId="3" type="noConversion"/>
  </si>
  <si>
    <t>Molding撕背膠治具</t>
    <phoneticPr fontId="3" type="noConversion"/>
  </si>
  <si>
    <t>成型彈匣</t>
    <phoneticPr fontId="3" type="noConversion"/>
  </si>
  <si>
    <t>DG</t>
    <phoneticPr fontId="3" type="noConversion"/>
  </si>
  <si>
    <t>滾輪去膠</t>
  </si>
  <si>
    <t>滾輪De-gate</t>
  </si>
  <si>
    <t>手動De-gate</t>
  </si>
  <si>
    <t>自動De-gate</t>
  </si>
  <si>
    <t>雷射切割</t>
    <phoneticPr fontId="3" type="noConversion"/>
  </si>
  <si>
    <t>加進</t>
  </si>
  <si>
    <t>B080</t>
  </si>
  <si>
    <t>GDRG-0125</t>
  </si>
  <si>
    <t>雷射切割</t>
  </si>
  <si>
    <t>去膠模具</t>
    <phoneticPr fontId="3" type="noConversion"/>
  </si>
  <si>
    <t>DF</t>
    <phoneticPr fontId="3" type="noConversion"/>
  </si>
  <si>
    <t>Reflow</t>
    <phoneticPr fontId="10" type="noConversion"/>
  </si>
  <si>
    <t>泡酸</t>
  </si>
  <si>
    <t>樹酯砂/玻璃砂</t>
    <phoneticPr fontId="10" type="noConversion"/>
  </si>
  <si>
    <t>ED</t>
    <phoneticPr fontId="10" type="noConversion"/>
  </si>
  <si>
    <t>吹砂負壓烘乾</t>
  </si>
  <si>
    <t>ED改CD</t>
    <phoneticPr fontId="10" type="noConversion"/>
  </si>
  <si>
    <t>Auto CD</t>
    <phoneticPr fontId="10" type="noConversion"/>
  </si>
  <si>
    <t>化學浸泡</t>
  </si>
  <si>
    <t>PKG SAW
(預切)</t>
    <phoneticPr fontId="3" type="noConversion"/>
  </si>
  <si>
    <t>元件貼合</t>
  </si>
  <si>
    <t>元件切割</t>
  </si>
  <si>
    <t>元件UV解膠(含下料)</t>
    <phoneticPr fontId="3" type="noConversion"/>
  </si>
  <si>
    <t>PL</t>
    <phoneticPr fontId="3" type="noConversion"/>
  </si>
  <si>
    <t>條鍍</t>
    <phoneticPr fontId="10" type="noConversion"/>
  </si>
  <si>
    <t>掛鍍</t>
  </si>
  <si>
    <t>自動滾鍍</t>
  </si>
  <si>
    <t>手動滾鍍</t>
  </si>
  <si>
    <t>電鍍回火</t>
    <phoneticPr fontId="10" type="noConversion"/>
  </si>
  <si>
    <t>MK</t>
    <phoneticPr fontId="3" type="noConversion"/>
  </si>
  <si>
    <t>自動印字</t>
    <phoneticPr fontId="10" type="noConversion"/>
  </si>
  <si>
    <t>手動印字</t>
  </si>
  <si>
    <t>TF</t>
    <phoneticPr fontId="3" type="noConversion"/>
  </si>
  <si>
    <t>平腳</t>
  </si>
  <si>
    <t>浦貝</t>
  </si>
  <si>
    <t>高速切筋成型系統</t>
  </si>
  <si>
    <t>GTFS-0107</t>
  </si>
  <si>
    <t>購機包含模具費用</t>
    <phoneticPr fontId="3" type="noConversion"/>
  </si>
  <si>
    <t>鷗翼腳</t>
  </si>
  <si>
    <t>J型腳</t>
  </si>
  <si>
    <t>切腳模具</t>
    <phoneticPr fontId="3" type="noConversion"/>
  </si>
  <si>
    <t>PKG SAW</t>
    <phoneticPr fontId="3" type="noConversion"/>
  </si>
  <si>
    <t>元件UV解膠</t>
    <phoneticPr fontId="3" type="noConversion"/>
  </si>
  <si>
    <t>自動剝料機+浸泡+烘烤</t>
    <phoneticPr fontId="3" type="noConversion"/>
  </si>
  <si>
    <t>LF裁切機</t>
    <phoneticPr fontId="3" type="noConversion"/>
  </si>
  <si>
    <t>TMTT</t>
    <phoneticPr fontId="3" type="noConversion"/>
  </si>
  <si>
    <t>Handler</t>
    <phoneticPr fontId="3" type="noConversion"/>
  </si>
  <si>
    <t>深科達</t>
  </si>
  <si>
    <t>SKD</t>
  </si>
  <si>
    <t>GTMA-0196</t>
  </si>
  <si>
    <t>仿照PDFN8080 UPH</t>
    <phoneticPr fontId="3" type="noConversion"/>
  </si>
  <si>
    <t>Tester</t>
    <phoneticPr fontId="3" type="noConversion"/>
  </si>
  <si>
    <t>冠魁</t>
  </si>
  <si>
    <t>測試機</t>
  </si>
  <si>
    <t>費用(NTD)</t>
    <phoneticPr fontId="3" type="noConversion"/>
  </si>
  <si>
    <t>總費用</t>
    <phoneticPr fontId="3" type="noConversion"/>
  </si>
  <si>
    <t>費用(NTD/年)</t>
    <phoneticPr fontId="3" type="noConversion"/>
  </si>
  <si>
    <t>年化維護總費用</t>
    <phoneticPr fontId="3" type="noConversion"/>
  </si>
  <si>
    <t>現有折舊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</si>
</sst>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_-* #,##0_-;\-* #,##0_-;_-* &quot;-&quot;??_-;_-@_-"/>
    <numFmt numFmtId="177" formatCode="0.000_);[Red]\(0.000\)"/>
    <numFmt numFmtId="178" formatCode="0.0_);[Red]\(0.0\)"/>
    <numFmt numFmtId="179" formatCode="0.00_);[Red]\(0.00\)"/>
    <numFmt numFmtId="180" formatCode="0_);[Red]\(0\)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1"/>
      <color rgb="FF000000"/>
      <name val="新細明體"/>
      <family val="2"/>
      <scheme val="minor"/>
    </font>
    <font>
      <sz val="12"/>
      <color rgb="FF00000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name val="微軟正黑體"/>
      <family val="2"/>
      <charset val="136"/>
    </font>
    <font>
      <b/>
      <sz val="12"/>
      <color rgb="FF0000FF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9"/>
      <name val="新細明體"/>
      <family val="1"/>
      <charset val="136"/>
    </font>
    <font>
      <sz val="12"/>
      <name val="Calibri"/>
      <family val="2"/>
      <charset val="136"/>
    </font>
    <font>
      <sz val="12"/>
      <name val="Microsoft JhengHei"/>
      <family val="2"/>
      <charset val="136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0" borderId="0"/>
    <xf numFmtId="0" fontId="1" fillId="0" borderId="0">
      <alignment vertical="center"/>
    </xf>
  </cellStyleXfs>
  <cellXfs count="7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1" applyNumberFormat="1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/>
    </xf>
    <xf numFmtId="176" fontId="5" fillId="0" borderId="1" xfId="1" applyNumberFormat="1" applyFont="1" applyBorder="1" applyAlignment="1">
      <alignment horizontal="center" vertical="center" wrapText="1" readingOrder="1"/>
    </xf>
    <xf numFmtId="177" fontId="0" fillId="0" borderId="0" xfId="0" applyNumberFormat="1">
      <alignment vertical="center"/>
    </xf>
    <xf numFmtId="177" fontId="7" fillId="3" borderId="2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vertical="top" wrapText="1" readingOrder="1"/>
    </xf>
    <xf numFmtId="0" fontId="2" fillId="0" borderId="1" xfId="0" applyFont="1" applyBorder="1">
      <alignment vertical="center"/>
    </xf>
    <xf numFmtId="176" fontId="2" fillId="0" borderId="1" xfId="1" applyNumberFormat="1" applyFont="1" applyBorder="1">
      <alignment vertical="center"/>
    </xf>
    <xf numFmtId="178" fontId="2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177" fontId="2" fillId="0" borderId="1" xfId="0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top" wrapText="1" readingOrder="1"/>
    </xf>
    <xf numFmtId="0" fontId="2" fillId="5" borderId="1" xfId="0" applyFont="1" applyFill="1" applyBorder="1">
      <alignment vertical="center"/>
    </xf>
    <xf numFmtId="0" fontId="9" fillId="5" borderId="1" xfId="2" applyFont="1" applyFill="1" applyBorder="1" applyAlignment="1">
      <alignment vertical="top" wrapText="1" readingOrder="1"/>
    </xf>
    <xf numFmtId="0" fontId="2" fillId="5" borderId="1" xfId="0" applyFont="1" applyFill="1" applyBorder="1" applyAlignment="1">
      <alignment horizontal="center" vertical="center"/>
    </xf>
    <xf numFmtId="176" fontId="2" fillId="5" borderId="1" xfId="1" applyNumberFormat="1" applyFont="1" applyFill="1" applyBorder="1">
      <alignment vertical="center"/>
    </xf>
    <xf numFmtId="178" fontId="2" fillId="5" borderId="1" xfId="0" applyNumberFormat="1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80" fontId="2" fillId="0" borderId="1" xfId="0" applyNumberFormat="1" applyFont="1" applyBorder="1">
      <alignment vertical="center"/>
    </xf>
    <xf numFmtId="0" fontId="11" fillId="0" borderId="1" xfId="0" applyFont="1" applyBorder="1" applyAlignment="1"/>
    <xf numFmtId="0" fontId="7" fillId="0" borderId="1" xfId="2" applyFont="1" applyBorder="1" applyAlignment="1">
      <alignment vertical="center" wrapText="1" readingOrder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176" fontId="7" fillId="0" borderId="1" xfId="1" applyNumberFormat="1" applyFont="1" applyBorder="1">
      <alignment vertical="center"/>
    </xf>
    <xf numFmtId="176" fontId="12" fillId="0" borderId="1" xfId="1" applyNumberFormat="1" applyFont="1" applyBorder="1">
      <alignment vertical="center"/>
    </xf>
    <xf numFmtId="0" fontId="7" fillId="0" borderId="1" xfId="0" applyFont="1" applyBorder="1" applyAlignment="1">
      <alignment vertical="center" wrapText="1"/>
    </xf>
    <xf numFmtId="178" fontId="7" fillId="0" borderId="1" xfId="0" applyNumberFormat="1" applyFont="1" applyBorder="1">
      <alignment vertical="center"/>
    </xf>
    <xf numFmtId="179" fontId="7" fillId="0" borderId="1" xfId="0" applyNumberFormat="1" applyFont="1" applyBorder="1">
      <alignment vertical="center"/>
    </xf>
    <xf numFmtId="177" fontId="7" fillId="0" borderId="1" xfId="0" applyNumberFormat="1" applyFont="1" applyBorder="1">
      <alignment vertical="center"/>
    </xf>
    <xf numFmtId="177" fontId="7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78" fontId="13" fillId="4" borderId="1" xfId="0" applyNumberFormat="1" applyFont="1" applyFill="1" applyBorder="1" applyAlignment="1">
      <alignment horizontal="left" vertical="center" wrapText="1"/>
    </xf>
    <xf numFmtId="0" fontId="12" fillId="0" borderId="1" xfId="2" applyFont="1" applyBorder="1" applyAlignment="1">
      <alignment vertical="center" wrapText="1" readingOrder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left" vertical="center"/>
    </xf>
    <xf numFmtId="178" fontId="7" fillId="4" borderId="1" xfId="0" applyNumberFormat="1" applyFont="1" applyFill="1" applyBorder="1" applyAlignment="1">
      <alignment horizontal="left" vertical="center"/>
    </xf>
    <xf numFmtId="0" fontId="7" fillId="0" borderId="1" xfId="2" applyFont="1" applyBorder="1" applyAlignment="1">
      <alignment horizontal="center" vertical="top" wrapText="1" readingOrder="1"/>
    </xf>
    <xf numFmtId="0" fontId="7" fillId="6" borderId="1" xfId="2" applyFont="1" applyFill="1" applyBorder="1" applyAlignment="1">
      <alignment vertical="center" wrapText="1" readingOrder="1"/>
    </xf>
    <xf numFmtId="0" fontId="11" fillId="0" borderId="1" xfId="0" applyFont="1" applyBorder="1">
      <alignment vertical="center"/>
    </xf>
    <xf numFmtId="178" fontId="13" fillId="4" borderId="1" xfId="0" applyNumberFormat="1" applyFont="1" applyFill="1" applyBorder="1" applyAlignment="1">
      <alignment horizontal="left" vertical="center"/>
    </xf>
    <xf numFmtId="0" fontId="16" fillId="0" borderId="1" xfId="3" applyFont="1" applyBorder="1" applyAlignment="1">
      <alignment horizontal="left" vertical="center"/>
    </xf>
    <xf numFmtId="176" fontId="13" fillId="0" borderId="1" xfId="1" applyNumberFormat="1" applyFont="1" applyFill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7" fillId="0" borderId="3" xfId="0" applyNumberFormat="1" applyFont="1" applyBorder="1" applyAlignment="1">
      <alignment horizontal="center" vertical="center"/>
    </xf>
    <xf numFmtId="177" fontId="7" fillId="0" borderId="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1" fillId="0" borderId="0" xfId="0" applyFont="1" applyAlignment="1"/>
    <xf numFmtId="176" fontId="7" fillId="0" borderId="0" xfId="1" applyNumberFormat="1" applyFont="1">
      <alignment vertical="center"/>
    </xf>
    <xf numFmtId="177" fontId="7" fillId="0" borderId="0" xfId="0" applyNumberFormat="1" applyFont="1">
      <alignment vertical="center"/>
    </xf>
    <xf numFmtId="0" fontId="5" fillId="0" borderId="1" xfId="0" applyFont="1" applyBorder="1" applyAlignment="1">
      <alignment horizontal="left" vertical="center" wrapText="1" readingOrder="1"/>
    </xf>
    <xf numFmtId="176" fontId="2" fillId="0" borderId="0" xfId="0" applyNumberFormat="1" applyFont="1">
      <alignment vertical="center"/>
    </xf>
    <xf numFmtId="176" fontId="2" fillId="0" borderId="1" xfId="1" applyNumberFormat="1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11" fillId="0" borderId="0" xfId="0" applyFont="1">
      <alignment vertical="center"/>
    </xf>
  </cellXfs>
  <cellStyles count="4">
    <cellStyle name="Normal" xfId="2" xr:uid="{133B0ECB-0B14-4698-BF73-B4F73AD99D04}"/>
    <cellStyle name="一般" xfId="0" builtinId="0"/>
    <cellStyle name="一般 5" xfId="3" xr:uid="{4073B92E-0AC5-4106-8D6E-22FE941794C3}"/>
    <cellStyle name="千分位" xfId="1" builtinId="3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92557\Downloads\DFN5060XC-8L%20Full%20Clip&#25104;&#26412;&#35336;&#31639;_IE_v2_20260923.xlsx" TargetMode="External"/><Relationship Id="rId1" Type="http://schemas.openxmlformats.org/officeDocument/2006/relationships/externalLinkPath" Target="/Users/92557/Downloads/DFN5060XC-8L%20Full%20Clip&#25104;&#26412;&#35336;&#31639;_IE_v2_202609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&#24037;&#20316;&#20107;&#38917;\12.%20&#23560;&#26696;\108.%20SOT-23%20(6L-1)%20100x300mm&#38283;&#30332;\3.%20DFN&#29256;&#26412;(&#30701;&#20986;&#33139;)\14.%20&#20840;&#32218;&#29986;&#33021;&#35413;&#20272;&#34920;\&#20840;&#32218;&#29986;&#33021;&#35413;&#20272;&#34920;%20v48%20250602%20for%202025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條件"/>
      <sheetName val="投資金額、產能、人工計算"/>
      <sheetName val="BOM"/>
      <sheetName val="PPT"/>
      <sheetName val="備註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料修改規則說明"/>
      <sheetName val="標準產能制定與權責單位之階層圖 (算法1)"/>
      <sheetName val="標準產能制定與權責單位之階層圖 (算法2)"/>
      <sheetName val="產能計算vs成本計算"/>
      <sheetName val="全線產能評估表(by PKG) (簡表)"/>
      <sheetName val="全線產能評估表(by PKG) (for SPC)"/>
      <sheetName val="全線產能評估表(by PKG)"/>
      <sheetName val="全線PPH評估表(by PKG)"/>
      <sheetName val="全線機台產能評估清單"/>
      <sheetName val="各站各產品UPH清單"/>
      <sheetName val="FTE &amp; PPH evaluation"/>
      <sheetName val="PPH trend"/>
      <sheetName val="PPH瀑布圖"/>
      <sheetName val="Type Efficiency"/>
      <sheetName val="各站設備作業工時設定清單"/>
      <sheetName val="TMTT Capacity"/>
      <sheetName val="全線產能評估表(by PKG+AU)"/>
      <sheetName val="全線產能評估表(by PKG+Area)"/>
      <sheetName val="全線產能評估表(by 棟別)"/>
      <sheetName val="全線產能評估表(by PKG+廠區)"/>
      <sheetName val="全線產能評估表(by 棟別)(保留除役盤點)勿使用"/>
      <sheetName val="SOT-23 2022-09~10汰舊換新"/>
      <sheetName val="WB通則打線數-231116 榮得"/>
      <sheetName val="Package 清單 250414"/>
      <sheetName val="SOT-23 &amp; 363 產能配比"/>
      <sheetName val="Linebalance"/>
      <sheetName val="Linebalance (區分未入廠機台)"/>
      <sheetName val="TMTT機台改機+測試機調查 230517"/>
      <sheetName val="雷射機軟體統計230512"/>
      <sheetName val="成型手動模 vs Package"/>
      <sheetName val="流程分析"/>
      <sheetName val="報廢機台明細"/>
      <sheetName val="現況總表(區域區分)"/>
      <sheetName val="移轉無錫"/>
      <sheetName val="0119DB晶粒分佈"/>
      <sheetName val="0119WB線數分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VLookUp Key</v>
          </cell>
        </row>
        <row r="20">
          <cell r="B20" t="str">
            <v>SOD-523</v>
          </cell>
          <cell r="G20" t="str">
            <v>DBD4200</v>
          </cell>
          <cell r="I20">
            <v>2</v>
          </cell>
        </row>
        <row r="21">
          <cell r="B21" t="str">
            <v>SOD-523</v>
          </cell>
          <cell r="G21" t="str">
            <v>DBD4200</v>
          </cell>
          <cell r="I21">
            <v>2</v>
          </cell>
        </row>
        <row r="22">
          <cell r="B22" t="str">
            <v>SOD-923</v>
          </cell>
          <cell r="G22" t="str">
            <v>DBD4200</v>
          </cell>
          <cell r="I22">
            <v>1</v>
          </cell>
        </row>
        <row r="23">
          <cell r="B23" t="str">
            <v>SOD-923</v>
          </cell>
          <cell r="G23" t="str">
            <v>STC-800</v>
          </cell>
          <cell r="I23">
            <v>1</v>
          </cell>
        </row>
        <row r="24">
          <cell r="B24" t="str">
            <v>SOD-923</v>
          </cell>
          <cell r="G24" t="str">
            <v>DBD4200</v>
          </cell>
          <cell r="I24">
            <v>1</v>
          </cell>
        </row>
        <row r="25">
          <cell r="B25" t="str">
            <v>SOT-23</v>
          </cell>
          <cell r="G25" t="str">
            <v>STC-800</v>
          </cell>
          <cell r="I25">
            <v>1</v>
          </cell>
        </row>
        <row r="26">
          <cell r="B26" t="str">
            <v>SOT-23</v>
          </cell>
          <cell r="G26" t="str">
            <v>STC-800</v>
          </cell>
          <cell r="I26">
            <v>2</v>
          </cell>
        </row>
        <row r="27">
          <cell r="B27" t="str">
            <v>SOT-23</v>
          </cell>
          <cell r="G27" t="str">
            <v>STC-800</v>
          </cell>
          <cell r="I27">
            <v>4</v>
          </cell>
        </row>
        <row r="28">
          <cell r="B28" t="str">
            <v>SOT-23</v>
          </cell>
          <cell r="G28" t="str">
            <v>DBD4000</v>
          </cell>
          <cell r="I28">
            <v>2</v>
          </cell>
        </row>
        <row r="29">
          <cell r="B29" t="str">
            <v>SOT-23</v>
          </cell>
          <cell r="G29" t="str">
            <v>DBD4200</v>
          </cell>
          <cell r="I29">
            <v>2</v>
          </cell>
        </row>
        <row r="30">
          <cell r="B30" t="str">
            <v>SOT-23</v>
          </cell>
          <cell r="G30" t="str">
            <v>DBD4200</v>
          </cell>
          <cell r="I30">
            <v>1</v>
          </cell>
        </row>
        <row r="31">
          <cell r="B31" t="str">
            <v>SOT-23</v>
          </cell>
          <cell r="G31" t="str">
            <v>DBD4200</v>
          </cell>
          <cell r="I31">
            <v>1</v>
          </cell>
        </row>
        <row r="32">
          <cell r="B32" t="str">
            <v>SOT-23</v>
          </cell>
          <cell r="G32" t="str">
            <v>DBD4000</v>
          </cell>
          <cell r="I32">
            <v>1</v>
          </cell>
        </row>
        <row r="33">
          <cell r="B33" t="str">
            <v>SOT-23</v>
          </cell>
          <cell r="G33" t="str">
            <v>DBD4000</v>
          </cell>
          <cell r="I33">
            <v>2</v>
          </cell>
        </row>
        <row r="34">
          <cell r="B34" t="str">
            <v>SOT-23</v>
          </cell>
          <cell r="G34" t="str">
            <v>DBD4000</v>
          </cell>
          <cell r="I34">
            <v>1</v>
          </cell>
          <cell r="J34" t="str">
            <v>26*26mil</v>
          </cell>
        </row>
        <row r="35">
          <cell r="B35" t="str">
            <v>SOT-23</v>
          </cell>
          <cell r="G35" t="str">
            <v>DBD4200</v>
          </cell>
          <cell r="I35">
            <v>2</v>
          </cell>
        </row>
        <row r="36">
          <cell r="B36" t="str">
            <v>SOT-23</v>
          </cell>
          <cell r="G36" t="str">
            <v>DBD4200</v>
          </cell>
          <cell r="I36">
            <v>4</v>
          </cell>
        </row>
        <row r="37">
          <cell r="B37" t="str">
            <v>SOT-23</v>
          </cell>
          <cell r="G37" t="str">
            <v>DBD4200</v>
          </cell>
          <cell r="I37" t="str">
            <v>2D2S</v>
          </cell>
        </row>
        <row r="38">
          <cell r="B38" t="str">
            <v>SOT-23</v>
          </cell>
          <cell r="G38" t="str">
            <v>DBD4000</v>
          </cell>
          <cell r="I38" t="str">
            <v>2D2S</v>
          </cell>
        </row>
        <row r="39">
          <cell r="B39" t="str">
            <v>SOT-23</v>
          </cell>
          <cell r="G39" t="str">
            <v>DBD4200</v>
          </cell>
          <cell r="I39" t="str">
            <v>2D2S</v>
          </cell>
        </row>
        <row r="40">
          <cell r="B40" t="str">
            <v>SOT-23 Cu</v>
          </cell>
          <cell r="G40" t="str">
            <v>DBD4200</v>
          </cell>
          <cell r="I40">
            <v>2</v>
          </cell>
        </row>
        <row r="41">
          <cell r="B41" t="str">
            <v>SOT-23 Cu</v>
          </cell>
          <cell r="G41" t="str">
            <v>DBD4200</v>
          </cell>
          <cell r="I41">
            <v>1</v>
          </cell>
        </row>
        <row r="42">
          <cell r="B42" t="str">
            <v>SOT-23 Cu</v>
          </cell>
          <cell r="G42" t="str">
            <v>DBD4200</v>
          </cell>
          <cell r="I42">
            <v>1</v>
          </cell>
        </row>
        <row r="43">
          <cell r="B43" t="str">
            <v>SOT-23 Cu</v>
          </cell>
          <cell r="G43" t="str">
            <v>DBD4200</v>
          </cell>
          <cell r="I43">
            <v>2</v>
          </cell>
        </row>
        <row r="44">
          <cell r="B44" t="str">
            <v>SOT-23 Cu</v>
          </cell>
          <cell r="G44" t="str">
            <v>DBD4200</v>
          </cell>
          <cell r="I44">
            <v>4</v>
          </cell>
        </row>
        <row r="45">
          <cell r="B45" t="str">
            <v>SOT-23 Cu</v>
          </cell>
          <cell r="G45" t="str">
            <v>STC-800</v>
          </cell>
          <cell r="I45">
            <v>4</v>
          </cell>
        </row>
        <row r="46">
          <cell r="B46" t="str">
            <v>SOT-323</v>
          </cell>
          <cell r="G46" t="str">
            <v>DBD4200</v>
          </cell>
          <cell r="I46">
            <v>1</v>
          </cell>
        </row>
        <row r="47">
          <cell r="B47" t="str">
            <v>SOT-323</v>
          </cell>
          <cell r="G47" t="str">
            <v>DBD4200</v>
          </cell>
          <cell r="I47">
            <v>1</v>
          </cell>
        </row>
        <row r="48">
          <cell r="B48" t="str">
            <v>SOT-323</v>
          </cell>
          <cell r="G48" t="str">
            <v>DBD4200</v>
          </cell>
          <cell r="I48">
            <v>2</v>
          </cell>
          <cell r="J48">
            <v>11</v>
          </cell>
        </row>
        <row r="49">
          <cell r="B49" t="str">
            <v>SOT-323</v>
          </cell>
          <cell r="G49" t="str">
            <v>DBD4200</v>
          </cell>
          <cell r="I49">
            <v>2</v>
          </cell>
          <cell r="J49">
            <v>11</v>
          </cell>
        </row>
        <row r="50">
          <cell r="B50" t="str">
            <v>SOT-323</v>
          </cell>
          <cell r="G50" t="str">
            <v>DBD4200</v>
          </cell>
          <cell r="I50">
            <v>2</v>
          </cell>
        </row>
        <row r="51">
          <cell r="B51" t="str">
            <v>SOT-323</v>
          </cell>
          <cell r="G51" t="str">
            <v>DBD4200</v>
          </cell>
          <cell r="I51">
            <v>2</v>
          </cell>
        </row>
        <row r="52">
          <cell r="B52" t="str">
            <v>SOT-323</v>
          </cell>
          <cell r="G52" t="str">
            <v>DBD4200</v>
          </cell>
          <cell r="I52" t="str">
            <v>TWIN</v>
          </cell>
        </row>
        <row r="53">
          <cell r="B53" t="str">
            <v>SOT-323</v>
          </cell>
          <cell r="G53" t="str">
            <v>DBD4200</v>
          </cell>
          <cell r="I53" t="str">
            <v>TWIN</v>
          </cell>
        </row>
        <row r="54">
          <cell r="B54" t="str">
            <v>SOT-363</v>
          </cell>
          <cell r="G54" t="str">
            <v>DBD4200</v>
          </cell>
          <cell r="I54">
            <v>1</v>
          </cell>
        </row>
        <row r="55">
          <cell r="B55" t="str">
            <v>SOT-363</v>
          </cell>
          <cell r="G55" t="str">
            <v>DBD4200</v>
          </cell>
          <cell r="I55">
            <v>1</v>
          </cell>
        </row>
        <row r="56">
          <cell r="B56" t="str">
            <v>SOT-363</v>
          </cell>
          <cell r="G56" t="str">
            <v>DBD4200</v>
          </cell>
          <cell r="I56">
            <v>2</v>
          </cell>
        </row>
        <row r="57">
          <cell r="B57" t="str">
            <v>SOT-363</v>
          </cell>
          <cell r="G57" t="str">
            <v>STC-800</v>
          </cell>
          <cell r="I57">
            <v>2</v>
          </cell>
        </row>
        <row r="58">
          <cell r="B58" t="str">
            <v>SOT-363 Cu</v>
          </cell>
          <cell r="G58" t="str">
            <v>STC-800</v>
          </cell>
          <cell r="I58">
            <v>2</v>
          </cell>
        </row>
        <row r="59">
          <cell r="B59" t="str">
            <v>SOT-363</v>
          </cell>
          <cell r="G59" t="str">
            <v>DBD4200</v>
          </cell>
          <cell r="I59">
            <v>2</v>
          </cell>
        </row>
        <row r="60">
          <cell r="B60" t="str">
            <v>SOT-363</v>
          </cell>
          <cell r="G60" t="str">
            <v>DBD4200</v>
          </cell>
          <cell r="I60">
            <v>3</v>
          </cell>
        </row>
        <row r="61">
          <cell r="B61" t="str">
            <v>SOT-363</v>
          </cell>
          <cell r="G61" t="str">
            <v>DBD4200</v>
          </cell>
          <cell r="I61">
            <v>3</v>
          </cell>
        </row>
        <row r="62">
          <cell r="B62" t="str">
            <v>SOT-363</v>
          </cell>
          <cell r="G62" t="str">
            <v>DBD4200</v>
          </cell>
          <cell r="I62">
            <v>4</v>
          </cell>
        </row>
        <row r="63">
          <cell r="B63" t="str">
            <v>SOT-363 Cu</v>
          </cell>
          <cell r="G63" t="str">
            <v>STC-800</v>
          </cell>
          <cell r="I63">
            <v>4</v>
          </cell>
        </row>
        <row r="64">
          <cell r="B64" t="str">
            <v>SOT-363</v>
          </cell>
          <cell r="G64" t="str">
            <v>STC-800</v>
          </cell>
          <cell r="I64">
            <v>4</v>
          </cell>
        </row>
        <row r="65">
          <cell r="B65" t="str">
            <v>SOT-363</v>
          </cell>
          <cell r="G65" t="str">
            <v>DBD4200</v>
          </cell>
          <cell r="I65">
            <v>4</v>
          </cell>
        </row>
        <row r="66">
          <cell r="B66" t="str">
            <v>SOT-363</v>
          </cell>
          <cell r="G66" t="str">
            <v>DBD4200</v>
          </cell>
          <cell r="I66">
            <v>5</v>
          </cell>
        </row>
        <row r="67">
          <cell r="B67" t="str">
            <v>SOT-363</v>
          </cell>
          <cell r="G67" t="str">
            <v>DBD4200</v>
          </cell>
          <cell r="I67">
            <v>5</v>
          </cell>
        </row>
        <row r="68">
          <cell r="B68" t="str">
            <v>SOT-363</v>
          </cell>
          <cell r="G68" t="str">
            <v>DBD4200</v>
          </cell>
          <cell r="I68">
            <v>7</v>
          </cell>
        </row>
        <row r="69">
          <cell r="B69" t="str">
            <v>SOT-363</v>
          </cell>
          <cell r="G69" t="str">
            <v>DBD4200</v>
          </cell>
          <cell r="I69">
            <v>7</v>
          </cell>
        </row>
        <row r="70">
          <cell r="B70" t="str">
            <v>SOT-523</v>
          </cell>
          <cell r="G70" t="str">
            <v>STC-800</v>
          </cell>
          <cell r="I70">
            <v>1</v>
          </cell>
        </row>
        <row r="71">
          <cell r="B71" t="str">
            <v>SOT-523</v>
          </cell>
          <cell r="G71" t="str">
            <v>STC-800</v>
          </cell>
          <cell r="I71">
            <v>2</v>
          </cell>
        </row>
        <row r="72">
          <cell r="B72" t="str">
            <v>SOT-523</v>
          </cell>
          <cell r="G72" t="str">
            <v>DBD4200</v>
          </cell>
          <cell r="I72">
            <v>1</v>
          </cell>
        </row>
        <row r="73">
          <cell r="B73" t="str">
            <v>SOT-523</v>
          </cell>
          <cell r="G73" t="str">
            <v>DBD4200</v>
          </cell>
          <cell r="I73">
            <v>1</v>
          </cell>
        </row>
        <row r="74">
          <cell r="B74" t="str">
            <v>SOT-523</v>
          </cell>
          <cell r="G74" t="str">
            <v>DBD4200</v>
          </cell>
          <cell r="I74">
            <v>1</v>
          </cell>
        </row>
        <row r="75">
          <cell r="B75" t="str">
            <v>SOT-523</v>
          </cell>
          <cell r="G75" t="str">
            <v>DBD4200</v>
          </cell>
          <cell r="I75">
            <v>2</v>
          </cell>
        </row>
        <row r="76">
          <cell r="B76" t="str">
            <v>SOT-523</v>
          </cell>
          <cell r="G76" t="str">
            <v>DBD4200</v>
          </cell>
          <cell r="I76">
            <v>2</v>
          </cell>
        </row>
        <row r="77">
          <cell r="B77" t="str">
            <v>SOT-523</v>
          </cell>
          <cell r="G77" t="str">
            <v>DBD4200</v>
          </cell>
          <cell r="I77" t="str">
            <v>TWIN</v>
          </cell>
        </row>
        <row r="78">
          <cell r="B78" t="str">
            <v>SOT-523</v>
          </cell>
          <cell r="G78" t="str">
            <v>DBD4200</v>
          </cell>
          <cell r="I78" t="str">
            <v>TWIN</v>
          </cell>
        </row>
        <row r="79">
          <cell r="B79" t="str">
            <v>SOT-563</v>
          </cell>
          <cell r="G79" t="str">
            <v>DBD4200</v>
          </cell>
          <cell r="I79">
            <v>1</v>
          </cell>
        </row>
        <row r="80">
          <cell r="B80" t="str">
            <v>SOT-563</v>
          </cell>
          <cell r="G80" t="str">
            <v>DBD4200</v>
          </cell>
          <cell r="I80">
            <v>1</v>
          </cell>
        </row>
        <row r="81">
          <cell r="B81" t="str">
            <v>SOT-563</v>
          </cell>
          <cell r="G81" t="str">
            <v>DBD4200</v>
          </cell>
          <cell r="I81">
            <v>2</v>
          </cell>
        </row>
        <row r="82">
          <cell r="B82" t="str">
            <v>SOT-563</v>
          </cell>
          <cell r="G82" t="str">
            <v>DBD4200</v>
          </cell>
          <cell r="I82">
            <v>2</v>
          </cell>
        </row>
        <row r="83">
          <cell r="B83" t="str">
            <v>SOT-563</v>
          </cell>
          <cell r="G83" t="str">
            <v>DBD4200</v>
          </cell>
          <cell r="I83">
            <v>4</v>
          </cell>
        </row>
        <row r="84">
          <cell r="B84" t="str">
            <v>SOT-563</v>
          </cell>
          <cell r="G84" t="str">
            <v>DBD4200</v>
          </cell>
          <cell r="I84">
            <v>4</v>
          </cell>
        </row>
        <row r="90">
          <cell r="G90" t="str">
            <v>STC-800</v>
          </cell>
          <cell r="I90">
            <v>1</v>
          </cell>
          <cell r="J90" t="str">
            <v>8&lt; X ≦11mil/A42/SN:車規/非車規</v>
          </cell>
        </row>
        <row r="91">
          <cell r="G91" t="str">
            <v>STC-800</v>
          </cell>
          <cell r="I91">
            <v>1</v>
          </cell>
          <cell r="J91" t="str">
            <v>11&lt; X ≦15mil/A42/SN:車規/非車規</v>
          </cell>
        </row>
        <row r="92">
          <cell r="G92" t="str">
            <v>STC-800</v>
          </cell>
          <cell r="I92">
            <v>1</v>
          </cell>
          <cell r="J92" t="str">
            <v>15&lt; X ≦20mil/A42/SN:車規/非車規</v>
          </cell>
        </row>
        <row r="93">
          <cell r="G93" t="str">
            <v>STC-800</v>
          </cell>
          <cell r="I93">
            <v>1</v>
          </cell>
          <cell r="J93" t="str">
            <v>20&lt; Xmil/A42/SN:車規/非車規</v>
          </cell>
        </row>
        <row r="94">
          <cell r="G94" t="str">
            <v>STC-800</v>
          </cell>
          <cell r="I94">
            <v>1</v>
          </cell>
          <cell r="J94" t="str">
            <v>15&lt; X ≦20mil/A42/SN:車規/非車規</v>
          </cell>
        </row>
        <row r="95">
          <cell r="G95" t="str">
            <v>STC-800</v>
          </cell>
          <cell r="I95">
            <v>1</v>
          </cell>
          <cell r="J95" t="str">
            <v>DYOTN/YOTAmil/A42/SN:車規/非車規</v>
          </cell>
        </row>
        <row r="96">
          <cell r="G96" t="str">
            <v>STC-800</v>
          </cell>
          <cell r="I96">
            <v>1</v>
          </cell>
          <cell r="J96" t="str">
            <v>AMPNmil/A42/SN:車規/非車規</v>
          </cell>
        </row>
        <row r="97">
          <cell r="G97" t="str">
            <v>STC-800</v>
          </cell>
          <cell r="I97">
            <v>1</v>
          </cell>
          <cell r="J97" t="str">
            <v>8&lt; X ≦11mil/A42/AU:車規/非車規</v>
          </cell>
        </row>
        <row r="98">
          <cell r="G98" t="str">
            <v>STC-800</v>
          </cell>
          <cell r="I98">
            <v>1</v>
          </cell>
          <cell r="J98" t="str">
            <v>11&lt; X ≦15mil/A42/AU:車規/非車規</v>
          </cell>
        </row>
        <row r="99">
          <cell r="G99" t="str">
            <v>STC-800</v>
          </cell>
          <cell r="I99">
            <v>1</v>
          </cell>
          <cell r="J99" t="str">
            <v>15&lt; X ≦20mil/A42/AU:車規/非車規</v>
          </cell>
        </row>
        <row r="100">
          <cell r="G100" t="str">
            <v>STC-800</v>
          </cell>
          <cell r="I100">
            <v>1</v>
          </cell>
          <cell r="J100" t="str">
            <v>20&lt; Xmil/A42/AU:車規/非車規</v>
          </cell>
        </row>
        <row r="101">
          <cell r="G101" t="str">
            <v>STC-800</v>
          </cell>
          <cell r="I101">
            <v>1</v>
          </cell>
          <cell r="J101" t="str">
            <v>8&lt; X ≦11mil/CU/SN:車規/非車規</v>
          </cell>
        </row>
        <row r="102">
          <cell r="G102" t="str">
            <v>STC-800</v>
          </cell>
          <cell r="I102">
            <v>1</v>
          </cell>
          <cell r="J102" t="str">
            <v>11&lt; X ≦15mil/CU/SN:車規/非車規</v>
          </cell>
        </row>
        <row r="103">
          <cell r="G103" t="str">
            <v>STC-800</v>
          </cell>
          <cell r="I103">
            <v>1</v>
          </cell>
          <cell r="J103" t="str">
            <v>15&lt; X ≦20mil/CU/SN:車規/非車規</v>
          </cell>
        </row>
        <row r="104">
          <cell r="G104" t="str">
            <v>STC-800</v>
          </cell>
          <cell r="I104">
            <v>1</v>
          </cell>
          <cell r="J104" t="str">
            <v>DYOTN/YOTAmil/CU/SN:車規/非車規</v>
          </cell>
        </row>
        <row r="105">
          <cell r="G105" t="str">
            <v>STC-800</v>
          </cell>
          <cell r="I105">
            <v>1</v>
          </cell>
          <cell r="J105" t="str">
            <v>AMPNmil/CU/SN:車規/非車規</v>
          </cell>
        </row>
        <row r="106">
          <cell r="G106" t="str">
            <v>STC-800</v>
          </cell>
          <cell r="I106">
            <v>1</v>
          </cell>
          <cell r="J106" t="str">
            <v>8&lt; X ≦11mil/CU/AU:車規/非車規</v>
          </cell>
        </row>
        <row r="107">
          <cell r="G107" t="str">
            <v>STC-800</v>
          </cell>
          <cell r="I107">
            <v>1</v>
          </cell>
          <cell r="J107" t="str">
            <v>11&lt; X ≦15mil/CU/AU:車規/非車規</v>
          </cell>
        </row>
        <row r="108">
          <cell r="G108" t="str">
            <v>STC-800</v>
          </cell>
          <cell r="I108">
            <v>2</v>
          </cell>
          <cell r="J108" t="str">
            <v>8&lt; X ≦11mil/A42/SN:車規/非車規</v>
          </cell>
        </row>
        <row r="109">
          <cell r="G109" t="str">
            <v>STC-800</v>
          </cell>
          <cell r="I109">
            <v>2</v>
          </cell>
          <cell r="J109" t="str">
            <v>11&lt; X ≦15mil/A42/SN:車規/非車規</v>
          </cell>
        </row>
        <row r="110">
          <cell r="G110" t="str">
            <v>STC-800</v>
          </cell>
          <cell r="I110">
            <v>2</v>
          </cell>
          <cell r="J110" t="str">
            <v>15&lt; X ≦20mil/A42/SN:車規/非車規</v>
          </cell>
        </row>
        <row r="111">
          <cell r="G111" t="str">
            <v>STC-800</v>
          </cell>
          <cell r="I111">
            <v>2</v>
          </cell>
          <cell r="J111" t="str">
            <v>20&lt; Xmil/A42/SN:車規/非車規</v>
          </cell>
        </row>
        <row r="112">
          <cell r="G112" t="str">
            <v>STC-800</v>
          </cell>
          <cell r="I112">
            <v>2</v>
          </cell>
          <cell r="J112" t="str">
            <v>15&lt; X ≦20mil/A42/SN:車規/非車規</v>
          </cell>
        </row>
        <row r="113">
          <cell r="G113" t="str">
            <v>STC-800</v>
          </cell>
          <cell r="I113">
            <v>2</v>
          </cell>
          <cell r="J113" t="str">
            <v>DYOTN/YOTAmil/A42/SN:車規/非車規</v>
          </cell>
        </row>
        <row r="114">
          <cell r="G114" t="str">
            <v>STC-800</v>
          </cell>
          <cell r="I114">
            <v>2</v>
          </cell>
          <cell r="J114" t="str">
            <v>AMPNmil/A42/SN:車規/非車規</v>
          </cell>
        </row>
        <row r="115">
          <cell r="G115" t="str">
            <v>STC-800</v>
          </cell>
          <cell r="I115">
            <v>2</v>
          </cell>
          <cell r="J115" t="str">
            <v>8&lt; X ≦11mil/A42/AU:車規/非車規</v>
          </cell>
        </row>
        <row r="116">
          <cell r="G116" t="str">
            <v>STC-800</v>
          </cell>
          <cell r="I116">
            <v>2</v>
          </cell>
          <cell r="J116" t="str">
            <v>11&lt; X ≦15mil/A42/AU:車規/非車規</v>
          </cell>
        </row>
        <row r="117">
          <cell r="G117" t="str">
            <v>STC-800</v>
          </cell>
          <cell r="I117">
            <v>2</v>
          </cell>
          <cell r="J117" t="str">
            <v>15&lt; X ≦20mil/A42/AU:車規/非車規</v>
          </cell>
        </row>
        <row r="118">
          <cell r="G118" t="str">
            <v>STC-800</v>
          </cell>
          <cell r="I118">
            <v>2</v>
          </cell>
          <cell r="J118" t="str">
            <v>20&lt; Xmil/A42/AU:車規/非車規</v>
          </cell>
        </row>
        <row r="119">
          <cell r="G119" t="str">
            <v>STC-800</v>
          </cell>
          <cell r="I119">
            <v>2</v>
          </cell>
          <cell r="J119" t="str">
            <v>8&lt; X ≦11mil/CU/SN:車規/非車規</v>
          </cell>
        </row>
        <row r="120">
          <cell r="G120" t="str">
            <v>STC-800</v>
          </cell>
          <cell r="I120">
            <v>2</v>
          </cell>
          <cell r="J120" t="str">
            <v>11&lt; X ≦15mil/CU/SN:車規/非車規</v>
          </cell>
        </row>
        <row r="121">
          <cell r="G121" t="str">
            <v>STC-800</v>
          </cell>
          <cell r="I121">
            <v>2</v>
          </cell>
          <cell r="J121" t="str">
            <v>15&lt; X ≦20mil/CU/SN:車規/非車規</v>
          </cell>
        </row>
        <row r="122">
          <cell r="G122" t="str">
            <v>STC-800</v>
          </cell>
          <cell r="I122">
            <v>2</v>
          </cell>
          <cell r="J122" t="str">
            <v>DYOTN/YOTAmil/CU/SN:車規/非車規</v>
          </cell>
        </row>
        <row r="123">
          <cell r="G123" t="str">
            <v>STC-800</v>
          </cell>
          <cell r="I123">
            <v>2</v>
          </cell>
          <cell r="J123" t="str">
            <v>AMPNmil/CU/SN:車規/非車規</v>
          </cell>
        </row>
        <row r="124">
          <cell r="G124" t="str">
            <v>STC-800</v>
          </cell>
          <cell r="I124">
            <v>2</v>
          </cell>
          <cell r="J124" t="str">
            <v>8&lt; X ≦11mil/CU/AU:車規/非車規</v>
          </cell>
        </row>
        <row r="125">
          <cell r="G125" t="str">
            <v>STC-800</v>
          </cell>
          <cell r="I125">
            <v>2</v>
          </cell>
          <cell r="J125" t="str">
            <v>11&lt; X ≦15mil/CU/AU:車規/非車規</v>
          </cell>
        </row>
        <row r="126">
          <cell r="G126" t="str">
            <v>STC-800</v>
          </cell>
          <cell r="I126">
            <v>4</v>
          </cell>
          <cell r="J126" t="str">
            <v>8&lt; X ≦11mil/A42/SN:車規/非車規</v>
          </cell>
        </row>
        <row r="127">
          <cell r="G127" t="str">
            <v>STC-800</v>
          </cell>
          <cell r="I127">
            <v>4</v>
          </cell>
          <cell r="J127" t="str">
            <v>11&lt; X ≦15mil/A42/SN:車規/非車規</v>
          </cell>
        </row>
        <row r="128">
          <cell r="G128" t="str">
            <v>STC-800</v>
          </cell>
          <cell r="I128">
            <v>4</v>
          </cell>
          <cell r="J128" t="str">
            <v>15&lt; X ≦20mil/A42/SN:車規/非車規</v>
          </cell>
        </row>
        <row r="129">
          <cell r="G129" t="str">
            <v>STC-800</v>
          </cell>
          <cell r="I129">
            <v>4</v>
          </cell>
          <cell r="J129" t="str">
            <v>20&lt; Xmil/A42/SN:車規/非車規</v>
          </cell>
        </row>
        <row r="130">
          <cell r="G130" t="str">
            <v>STC-800</v>
          </cell>
          <cell r="I130">
            <v>4</v>
          </cell>
          <cell r="J130" t="str">
            <v>15&lt; X ≦20mil/A42/SN:車規/非車規</v>
          </cell>
        </row>
        <row r="131">
          <cell r="G131" t="str">
            <v>STC-800</v>
          </cell>
          <cell r="I131">
            <v>4</v>
          </cell>
          <cell r="J131" t="str">
            <v>DYOTN/YOTAmil/A42/SN:車規/非車規</v>
          </cell>
        </row>
        <row r="132">
          <cell r="G132" t="str">
            <v>STC-800</v>
          </cell>
          <cell r="I132">
            <v>4</v>
          </cell>
          <cell r="J132" t="str">
            <v>AMPNmil/A42/SN:車規/非車規</v>
          </cell>
        </row>
        <row r="133">
          <cell r="G133" t="str">
            <v>STC-800</v>
          </cell>
          <cell r="I133">
            <v>4</v>
          </cell>
          <cell r="J133" t="str">
            <v>8&lt; X ≦11mil/A42/AU:車規/非車規</v>
          </cell>
        </row>
        <row r="134">
          <cell r="G134" t="str">
            <v>STC-800</v>
          </cell>
          <cell r="I134">
            <v>4</v>
          </cell>
          <cell r="J134" t="str">
            <v>11&lt; X ≦15mil/A42/AU:車規/非車規</v>
          </cell>
        </row>
        <row r="135">
          <cell r="G135" t="str">
            <v>STC-800</v>
          </cell>
          <cell r="I135">
            <v>4</v>
          </cell>
          <cell r="J135" t="str">
            <v>15&lt; X ≦20mil/A42/AU:車規/非車規</v>
          </cell>
        </row>
        <row r="136">
          <cell r="G136" t="str">
            <v>STC-800</v>
          </cell>
          <cell r="I136">
            <v>4</v>
          </cell>
          <cell r="J136" t="str">
            <v>20&lt; Xmil/A42/AU:車規/非車規</v>
          </cell>
        </row>
        <row r="137">
          <cell r="G137" t="str">
            <v>STC-800</v>
          </cell>
          <cell r="I137">
            <v>4</v>
          </cell>
          <cell r="J137" t="str">
            <v>8&lt; X ≦11mil/CU/SN:車規/非車規</v>
          </cell>
        </row>
        <row r="138">
          <cell r="G138" t="str">
            <v>STC-800</v>
          </cell>
          <cell r="I138">
            <v>4</v>
          </cell>
          <cell r="J138" t="str">
            <v>11&lt; X ≦15mil/CU/SN:車規/非車規</v>
          </cell>
        </row>
        <row r="139">
          <cell r="G139" t="str">
            <v>STC-800</v>
          </cell>
          <cell r="I139">
            <v>4</v>
          </cell>
          <cell r="J139" t="str">
            <v>15&lt; X ≦20mil/CU/SN:車規/非車規</v>
          </cell>
        </row>
        <row r="140">
          <cell r="G140" t="str">
            <v>STC-800</v>
          </cell>
          <cell r="I140">
            <v>4</v>
          </cell>
          <cell r="J140" t="str">
            <v>DYOTN/YOTAmil/CU/SN:車規/非車規</v>
          </cell>
        </row>
        <row r="141">
          <cell r="G141" t="str">
            <v>STC-800</v>
          </cell>
          <cell r="I141">
            <v>4</v>
          </cell>
          <cell r="J141" t="str">
            <v>AMPNmil/CU/SN:車規/非車規</v>
          </cell>
        </row>
        <row r="142">
          <cell r="G142" t="str">
            <v>STC-800</v>
          </cell>
          <cell r="I142">
            <v>4</v>
          </cell>
          <cell r="J142" t="str">
            <v>8&lt; X ≦11mil/CU/AU:車規/非車規</v>
          </cell>
        </row>
        <row r="143">
          <cell r="G143" t="str">
            <v>STC-800</v>
          </cell>
          <cell r="I143">
            <v>4</v>
          </cell>
          <cell r="J143" t="str">
            <v>11&lt; X ≦15mil/CU/AU:車規/非車規</v>
          </cell>
        </row>
        <row r="149">
          <cell r="B149" t="str">
            <v>SOT-23 Cu</v>
          </cell>
          <cell r="G149" t="str">
            <v>AD830</v>
          </cell>
          <cell r="I149">
            <v>1</v>
          </cell>
        </row>
        <row r="150">
          <cell r="B150" t="str">
            <v>SOT-23 Cu</v>
          </cell>
          <cell r="G150" t="str">
            <v>AD832i</v>
          </cell>
          <cell r="I150">
            <v>1</v>
          </cell>
        </row>
        <row r="151">
          <cell r="B151" t="str">
            <v>SOT-23 Cu</v>
          </cell>
          <cell r="G151" t="str">
            <v>AD838</v>
          </cell>
          <cell r="I151">
            <v>1</v>
          </cell>
        </row>
        <row r="152">
          <cell r="B152" t="str">
            <v>SOT-23 Cu</v>
          </cell>
          <cell r="G152" t="str">
            <v>AD838</v>
          </cell>
          <cell r="I152">
            <v>2</v>
          </cell>
        </row>
        <row r="153">
          <cell r="B153" t="str">
            <v>DFN 2L</v>
          </cell>
          <cell r="G153" t="str">
            <v>AD838</v>
          </cell>
          <cell r="I153">
            <v>1</v>
          </cell>
        </row>
        <row r="154">
          <cell r="B154" t="str">
            <v>DFN 2L</v>
          </cell>
          <cell r="G154" t="str">
            <v>AD838</v>
          </cell>
          <cell r="I154">
            <v>1</v>
          </cell>
          <cell r="J154" t="str">
            <v>絕緣膠(2點膠)</v>
          </cell>
        </row>
        <row r="155">
          <cell r="B155" t="str">
            <v>DFN 2L</v>
          </cell>
          <cell r="G155" t="str">
            <v>AD838</v>
          </cell>
          <cell r="I155">
            <v>1</v>
          </cell>
          <cell r="J155" t="str">
            <v>絕緣膠(4點膠)</v>
          </cell>
        </row>
        <row r="156">
          <cell r="B156" t="str">
            <v>DFN 2L</v>
          </cell>
          <cell r="G156" t="str">
            <v>AD838</v>
          </cell>
          <cell r="I156">
            <v>2</v>
          </cell>
        </row>
        <row r="157">
          <cell r="B157" t="str">
            <v>DFN 3L</v>
          </cell>
          <cell r="G157" t="str">
            <v>AD838</v>
          </cell>
          <cell r="I157">
            <v>1</v>
          </cell>
        </row>
        <row r="158">
          <cell r="B158" t="str">
            <v>DFN 3L</v>
          </cell>
          <cell r="G158" t="str">
            <v>AD838</v>
          </cell>
          <cell r="I158">
            <v>2</v>
          </cell>
          <cell r="J158" t="str">
            <v xml:space="preserve"> </v>
          </cell>
        </row>
        <row r="159">
          <cell r="B159" t="str">
            <v>DFN0603</v>
          </cell>
          <cell r="G159" t="str">
            <v>AD838</v>
          </cell>
          <cell r="I159">
            <v>1</v>
          </cell>
        </row>
        <row r="160">
          <cell r="B160" t="str">
            <v>DFN2510-10L</v>
          </cell>
          <cell r="G160" t="str">
            <v>AD838</v>
          </cell>
          <cell r="I160">
            <v>1</v>
          </cell>
        </row>
        <row r="161">
          <cell r="B161" t="str">
            <v>DFN2510-10L</v>
          </cell>
          <cell r="G161" t="str">
            <v>AD838</v>
          </cell>
          <cell r="I161">
            <v>4</v>
          </cell>
        </row>
        <row r="162">
          <cell r="B162" t="str">
            <v>SOT-223</v>
          </cell>
          <cell r="G162" t="str">
            <v>AD838</v>
          </cell>
          <cell r="I162">
            <v>1</v>
          </cell>
        </row>
        <row r="163">
          <cell r="B163" t="str">
            <v>SOT-323</v>
          </cell>
          <cell r="G163" t="str">
            <v>AD838</v>
          </cell>
          <cell r="I163">
            <v>1</v>
          </cell>
        </row>
        <row r="164">
          <cell r="B164" t="str">
            <v>SOT-323</v>
          </cell>
          <cell r="G164" t="str">
            <v>AD838</v>
          </cell>
          <cell r="I164">
            <v>2</v>
          </cell>
        </row>
        <row r="165">
          <cell r="B165" t="str">
            <v>SOT-363</v>
          </cell>
          <cell r="G165" t="str">
            <v>AD830</v>
          </cell>
          <cell r="I165">
            <v>1</v>
          </cell>
        </row>
        <row r="166">
          <cell r="B166" t="str">
            <v>SOT-363</v>
          </cell>
          <cell r="G166" t="str">
            <v>AD832i</v>
          </cell>
          <cell r="I166">
            <v>1</v>
          </cell>
        </row>
        <row r="167">
          <cell r="B167" t="str">
            <v>SOT-363</v>
          </cell>
          <cell r="G167" t="str">
            <v>AD838</v>
          </cell>
          <cell r="I167">
            <v>1</v>
          </cell>
        </row>
        <row r="168">
          <cell r="B168" t="str">
            <v>SOT-363</v>
          </cell>
          <cell r="G168" t="str">
            <v>AD832i</v>
          </cell>
          <cell r="I168">
            <v>2</v>
          </cell>
        </row>
        <row r="169">
          <cell r="B169" t="str">
            <v>SOT-363</v>
          </cell>
          <cell r="G169" t="str">
            <v>AD838</v>
          </cell>
          <cell r="I169">
            <v>2</v>
          </cell>
        </row>
        <row r="170">
          <cell r="B170" t="str">
            <v>SOT-363 CU</v>
          </cell>
          <cell r="G170" t="str">
            <v>AD832i</v>
          </cell>
          <cell r="I170">
            <v>2</v>
          </cell>
        </row>
        <row r="171">
          <cell r="B171" t="str">
            <v>SOT-363 CU</v>
          </cell>
          <cell r="G171" t="str">
            <v>AD838</v>
          </cell>
          <cell r="I171">
            <v>2</v>
          </cell>
        </row>
        <row r="172">
          <cell r="B172" t="str">
            <v>SOT-523</v>
          </cell>
          <cell r="G172" t="str">
            <v>AD838</v>
          </cell>
          <cell r="I172">
            <v>1</v>
          </cell>
        </row>
        <row r="173">
          <cell r="B173" t="str">
            <v>SOT-523</v>
          </cell>
          <cell r="G173" t="str">
            <v>AD838</v>
          </cell>
          <cell r="I173">
            <v>2</v>
          </cell>
        </row>
        <row r="174">
          <cell r="B174" t="str">
            <v>SOT-523</v>
          </cell>
          <cell r="G174" t="str">
            <v>AD832i</v>
          </cell>
          <cell r="I174">
            <v>1</v>
          </cell>
        </row>
        <row r="175">
          <cell r="B175" t="str">
            <v>SOT-523</v>
          </cell>
          <cell r="G175" t="str">
            <v>AD832i</v>
          </cell>
          <cell r="I175">
            <v>2</v>
          </cell>
        </row>
        <row r="176">
          <cell r="B176" t="str">
            <v>SOT-563</v>
          </cell>
          <cell r="G176" t="str">
            <v>AD838</v>
          </cell>
          <cell r="I176">
            <v>1</v>
          </cell>
        </row>
        <row r="177">
          <cell r="B177" t="str">
            <v>SOT-563</v>
          </cell>
          <cell r="G177" t="str">
            <v>AD838</v>
          </cell>
          <cell r="I177">
            <v>2</v>
          </cell>
        </row>
        <row r="178">
          <cell r="B178" t="str">
            <v>SOT-563</v>
          </cell>
          <cell r="G178" t="str">
            <v>AD832i</v>
          </cell>
          <cell r="I178">
            <v>2</v>
          </cell>
        </row>
        <row r="179">
          <cell r="B179" t="str">
            <v>SOT-23 6L-1</v>
          </cell>
          <cell r="G179" t="str">
            <v>AD838</v>
          </cell>
          <cell r="I179">
            <v>1</v>
          </cell>
        </row>
        <row r="180">
          <cell r="B180" t="str">
            <v>SOT-23 6L-1</v>
          </cell>
          <cell r="G180" t="str">
            <v>AD838</v>
          </cell>
          <cell r="I180">
            <v>2</v>
          </cell>
        </row>
        <row r="181">
          <cell r="B181" t="str">
            <v>SOT23-6L</v>
          </cell>
          <cell r="G181" t="str">
            <v>AD838</v>
          </cell>
          <cell r="I181">
            <v>1</v>
          </cell>
        </row>
        <row r="182">
          <cell r="B182" t="str">
            <v>SOT23-6L</v>
          </cell>
          <cell r="G182" t="str">
            <v>AD838</v>
          </cell>
          <cell r="I182">
            <v>2</v>
          </cell>
        </row>
        <row r="183">
          <cell r="B183" t="str">
            <v>SOT23-6L</v>
          </cell>
          <cell r="G183" t="str">
            <v>AD832i</v>
          </cell>
          <cell r="I183">
            <v>2</v>
          </cell>
        </row>
        <row r="184">
          <cell r="B184" t="str">
            <v>SOT23-6L</v>
          </cell>
          <cell r="G184" t="str">
            <v>AD838</v>
          </cell>
          <cell r="I184">
            <v>3</v>
          </cell>
        </row>
        <row r="185">
          <cell r="B185" t="str">
            <v>SOT23-6L</v>
          </cell>
          <cell r="G185" t="str">
            <v>AD838</v>
          </cell>
          <cell r="I185">
            <v>4</v>
          </cell>
        </row>
        <row r="186">
          <cell r="B186" t="str">
            <v>SOT23-6L</v>
          </cell>
          <cell r="G186" t="str">
            <v>AD838</v>
          </cell>
          <cell r="I186">
            <v>5</v>
          </cell>
        </row>
        <row r="187">
          <cell r="B187" t="str">
            <v>SOT23-6L</v>
          </cell>
          <cell r="G187" t="str">
            <v>AD832i</v>
          </cell>
          <cell r="I187">
            <v>8</v>
          </cell>
        </row>
        <row r="188">
          <cell r="B188" t="str">
            <v>SOT23-6L</v>
          </cell>
          <cell r="G188" t="str">
            <v>AD838</v>
          </cell>
          <cell r="I188">
            <v>8</v>
          </cell>
        </row>
        <row r="189">
          <cell r="B189" t="str">
            <v>SOT23-6L</v>
          </cell>
          <cell r="G189" t="str">
            <v>AD838</v>
          </cell>
          <cell r="I189">
            <v>9</v>
          </cell>
        </row>
        <row r="194">
          <cell r="B194" t="str">
            <v>SOT-223</v>
          </cell>
        </row>
        <row r="195">
          <cell r="B195" t="str">
            <v>SOT-23</v>
          </cell>
        </row>
        <row r="196">
          <cell r="B196" t="str">
            <v>SOT-23 Cu</v>
          </cell>
        </row>
        <row r="197">
          <cell r="B197" t="str">
            <v>SOT-323</v>
          </cell>
        </row>
        <row r="198">
          <cell r="B198" t="str">
            <v>SOT23-5L</v>
          </cell>
        </row>
        <row r="199">
          <cell r="B199" t="str">
            <v>SOT23-6L</v>
          </cell>
        </row>
        <row r="200">
          <cell r="B200" t="str">
            <v>SOT-23 6L-1</v>
          </cell>
        </row>
        <row r="201">
          <cell r="B201" t="str">
            <v>SOT-363</v>
          </cell>
        </row>
        <row r="202">
          <cell r="B202" t="str">
            <v>SOT-363 CU</v>
          </cell>
        </row>
        <row r="203">
          <cell r="B203" t="str">
            <v>SOT-523</v>
          </cell>
        </row>
        <row r="204">
          <cell r="B204" t="str">
            <v>SOT-563</v>
          </cell>
        </row>
        <row r="205">
          <cell r="B205" t="str">
            <v>DFN 2L</v>
          </cell>
        </row>
        <row r="206">
          <cell r="B206" t="str">
            <v>DFN 3L</v>
          </cell>
        </row>
        <row r="207">
          <cell r="B207" t="str">
            <v>DFN0603</v>
          </cell>
        </row>
        <row r="208">
          <cell r="B208" t="str">
            <v>DFN2510-10L</v>
          </cell>
        </row>
        <row r="217">
          <cell r="B217" t="str">
            <v>TO-277 / 277B</v>
          </cell>
          <cell r="G217" t="str">
            <v>KP500</v>
          </cell>
        </row>
        <row r="218">
          <cell r="B218" t="str">
            <v>SMAF</v>
          </cell>
          <cell r="G218" t="str">
            <v>KP500A</v>
          </cell>
        </row>
        <row r="219">
          <cell r="B219" t="str">
            <v>SOD-123FL</v>
          </cell>
          <cell r="G219" t="str">
            <v>KP500A</v>
          </cell>
        </row>
        <row r="220">
          <cell r="B220" t="str">
            <v>SOD-123FL OP1</v>
          </cell>
          <cell r="G220" t="str">
            <v>KP510A</v>
          </cell>
        </row>
        <row r="221">
          <cell r="B221" t="str">
            <v>SOD-123FL OP1</v>
          </cell>
          <cell r="G221" t="str">
            <v>NeoHorizon 03iX</v>
          </cell>
        </row>
        <row r="222">
          <cell r="B222" t="str">
            <v>SOD-123FL HD</v>
          </cell>
          <cell r="G222" t="str">
            <v>KP510A</v>
          </cell>
        </row>
        <row r="223">
          <cell r="B223" t="str">
            <v>SOD-123FL HD</v>
          </cell>
          <cell r="G223" t="str">
            <v>NeoHorizon 03iX</v>
          </cell>
        </row>
        <row r="224">
          <cell r="B224" t="str">
            <v>SOD-123HE</v>
          </cell>
          <cell r="G224" t="str">
            <v>KP500A</v>
          </cell>
        </row>
        <row r="225">
          <cell r="B225" t="str">
            <v>SOD-323HE</v>
          </cell>
          <cell r="G225" t="str">
            <v>KP500A</v>
          </cell>
        </row>
        <row r="226">
          <cell r="B226" t="str">
            <v>SOD-123HE</v>
          </cell>
          <cell r="G226" t="str">
            <v>KP510A</v>
          </cell>
        </row>
        <row r="227">
          <cell r="B227" t="str">
            <v>SOD-323HE</v>
          </cell>
          <cell r="G227" t="str">
            <v>KP510A</v>
          </cell>
        </row>
        <row r="228">
          <cell r="B228" t="str">
            <v>TO-277 / 277B</v>
          </cell>
          <cell r="G228" t="str">
            <v>KP500A</v>
          </cell>
        </row>
        <row r="229">
          <cell r="B229" t="str">
            <v>TDI</v>
          </cell>
          <cell r="G229" t="str">
            <v>KP510A</v>
          </cell>
        </row>
        <row r="230">
          <cell r="B230" t="str">
            <v>SMAF</v>
          </cell>
          <cell r="G230" t="str">
            <v>KP510A</v>
          </cell>
        </row>
        <row r="231">
          <cell r="B231" t="str">
            <v>SMBF</v>
          </cell>
          <cell r="G231" t="str">
            <v>KP510A</v>
          </cell>
        </row>
        <row r="232">
          <cell r="B232" t="str">
            <v>SMBF</v>
          </cell>
          <cell r="G232" t="str">
            <v>KP500A</v>
          </cell>
        </row>
        <row r="233">
          <cell r="B233" t="str">
            <v>SOT-223</v>
          </cell>
          <cell r="G233" t="str">
            <v>NeoHorizon 03iX</v>
          </cell>
        </row>
        <row r="234">
          <cell r="B234" t="str">
            <v>TO-277C</v>
          </cell>
          <cell r="G234" t="str">
            <v>NeoHorizon 03iX</v>
          </cell>
        </row>
        <row r="235">
          <cell r="B235" t="str">
            <v>SMAF</v>
          </cell>
          <cell r="G235" t="str">
            <v>NeoHorizon 03iX</v>
          </cell>
        </row>
        <row r="236">
          <cell r="B236" t="str">
            <v>SMAF-C</v>
          </cell>
          <cell r="G236" t="str">
            <v>NeoHorizon 03iX</v>
          </cell>
        </row>
        <row r="237">
          <cell r="B237" t="str">
            <v>TDI</v>
          </cell>
          <cell r="G237" t="str">
            <v>NeoHorizon 03iX</v>
          </cell>
        </row>
        <row r="242">
          <cell r="B242" t="str">
            <v>SMAF</v>
          </cell>
          <cell r="G242" t="str">
            <v>AD838</v>
          </cell>
          <cell r="I242">
            <v>1</v>
          </cell>
        </row>
        <row r="243">
          <cell r="B243" t="str">
            <v>SMBF</v>
          </cell>
          <cell r="G243" t="str">
            <v>AD838</v>
          </cell>
          <cell r="I243">
            <v>1</v>
          </cell>
        </row>
        <row r="244">
          <cell r="B244" t="str">
            <v>SOD-123FL</v>
          </cell>
          <cell r="G244" t="str">
            <v>AD838</v>
          </cell>
          <cell r="I244">
            <v>1</v>
          </cell>
        </row>
        <row r="245">
          <cell r="B245" t="str">
            <v>SOD-123FL OP1</v>
          </cell>
          <cell r="G245" t="str">
            <v>AD838</v>
          </cell>
          <cell r="I245">
            <v>1</v>
          </cell>
        </row>
        <row r="246">
          <cell r="B246" t="str">
            <v>SOD-123HE</v>
          </cell>
          <cell r="G246" t="str">
            <v>AD838</v>
          </cell>
          <cell r="I246">
            <v>1</v>
          </cell>
        </row>
        <row r="247">
          <cell r="B247" t="str">
            <v>SOD-323HE</v>
          </cell>
          <cell r="G247" t="str">
            <v>AD838</v>
          </cell>
          <cell r="I247">
            <v>1</v>
          </cell>
        </row>
        <row r="248">
          <cell r="B248" t="str">
            <v>TO-277 / 277B</v>
          </cell>
          <cell r="G248" t="str">
            <v>AD838</v>
          </cell>
          <cell r="I248">
            <v>1</v>
          </cell>
        </row>
        <row r="249">
          <cell r="B249" t="str">
            <v>SOD-123FL</v>
          </cell>
          <cell r="G249" t="str">
            <v>EBD4000S</v>
          </cell>
          <cell r="I249">
            <v>1</v>
          </cell>
        </row>
        <row r="250">
          <cell r="B250" t="str">
            <v>SOD-323HE</v>
          </cell>
          <cell r="G250" t="str">
            <v>CBD4350S</v>
          </cell>
          <cell r="I250">
            <v>1</v>
          </cell>
        </row>
        <row r="251">
          <cell r="B251" t="str">
            <v>SOD-323HE</v>
          </cell>
          <cell r="G251" t="str">
            <v>EBD4350S</v>
          </cell>
          <cell r="I251">
            <v>1</v>
          </cell>
        </row>
        <row r="252">
          <cell r="B252" t="str">
            <v>TDI</v>
          </cell>
          <cell r="G252" t="str">
            <v>AD838</v>
          </cell>
          <cell r="I252">
            <v>4</v>
          </cell>
        </row>
        <row r="253">
          <cell r="B253" t="str">
            <v>TDI</v>
          </cell>
          <cell r="G253" t="str">
            <v>CBD4350S</v>
          </cell>
          <cell r="I253">
            <v>4</v>
          </cell>
        </row>
        <row r="254">
          <cell r="B254" t="str">
            <v>TDI</v>
          </cell>
          <cell r="G254" t="str">
            <v>EBD4350S</v>
          </cell>
          <cell r="I254">
            <v>4</v>
          </cell>
        </row>
        <row r="255">
          <cell r="B255" t="str">
            <v>SOT-223</v>
          </cell>
          <cell r="G255" t="str">
            <v>AD832i</v>
          </cell>
          <cell r="I255">
            <v>1</v>
          </cell>
        </row>
        <row r="256">
          <cell r="B256" t="str">
            <v>TO-277 / 277B</v>
          </cell>
          <cell r="G256" t="str">
            <v>AD832i</v>
          </cell>
          <cell r="I256">
            <v>1</v>
          </cell>
        </row>
        <row r="257">
          <cell r="B257" t="str">
            <v>SOD-123FL</v>
          </cell>
          <cell r="G257" t="str">
            <v>AD832i</v>
          </cell>
          <cell r="I257">
            <v>1</v>
          </cell>
        </row>
        <row r="258">
          <cell r="B258" t="str">
            <v>SOD-123FL OP1</v>
          </cell>
          <cell r="G258" t="str">
            <v>AD832i</v>
          </cell>
          <cell r="I258">
            <v>1</v>
          </cell>
        </row>
        <row r="259">
          <cell r="B259" t="str">
            <v>SOD-123FL HD</v>
          </cell>
          <cell r="G259" t="str">
            <v>AD832i</v>
          </cell>
          <cell r="I259">
            <v>1</v>
          </cell>
        </row>
        <row r="260">
          <cell r="B260" t="str">
            <v>SOD-323HE</v>
          </cell>
          <cell r="G260" t="str">
            <v>AD832i</v>
          </cell>
          <cell r="I260">
            <v>1</v>
          </cell>
        </row>
        <row r="261">
          <cell r="B261" t="str">
            <v>TDI</v>
          </cell>
          <cell r="G261" t="str">
            <v>AD832i</v>
          </cell>
          <cell r="I261">
            <v>4</v>
          </cell>
        </row>
        <row r="267">
          <cell r="B267" t="str">
            <v>SOD-123</v>
          </cell>
          <cell r="G267" t="str">
            <v>Eagle60</v>
          </cell>
          <cell r="I267">
            <v>1</v>
          </cell>
          <cell r="J267" t="str">
            <v>CU</v>
          </cell>
        </row>
        <row r="268">
          <cell r="B268" t="str">
            <v>SOD-123</v>
          </cell>
          <cell r="G268" t="str">
            <v>Eagle60</v>
          </cell>
          <cell r="I268">
            <v>2</v>
          </cell>
          <cell r="J268" t="str">
            <v>CU</v>
          </cell>
        </row>
        <row r="269">
          <cell r="B269" t="str">
            <v>SOD-123</v>
          </cell>
          <cell r="G269" t="str">
            <v>Eagle60</v>
          </cell>
          <cell r="I269">
            <v>2</v>
          </cell>
          <cell r="J269" t="str">
            <v>CU WIRE/φ2.4mil</v>
          </cell>
        </row>
        <row r="270">
          <cell r="B270" t="str">
            <v>SOD-123</v>
          </cell>
          <cell r="G270" t="str">
            <v>iHawk</v>
          </cell>
          <cell r="I270">
            <v>1</v>
          </cell>
          <cell r="J270" t="str">
            <v>AU</v>
          </cell>
        </row>
        <row r="271">
          <cell r="B271" t="str">
            <v>SOD-123</v>
          </cell>
          <cell r="G271" t="str">
            <v>iHawk</v>
          </cell>
          <cell r="I271">
            <v>1</v>
          </cell>
          <cell r="J271" t="str">
            <v>CU</v>
          </cell>
        </row>
        <row r="272">
          <cell r="B272" t="str">
            <v>SOD-123</v>
          </cell>
          <cell r="G272" t="str">
            <v>iHawk</v>
          </cell>
          <cell r="I272">
            <v>2</v>
          </cell>
          <cell r="J272" t="str">
            <v>CU</v>
          </cell>
        </row>
        <row r="273">
          <cell r="B273" t="str">
            <v>SOD-123</v>
          </cell>
          <cell r="G273" t="str">
            <v>iHawk</v>
          </cell>
          <cell r="I273">
            <v>1</v>
          </cell>
          <cell r="J273" t="str">
            <v>CU WIRE/φ2.4mil</v>
          </cell>
        </row>
        <row r="274">
          <cell r="B274" t="str">
            <v>SOD-123</v>
          </cell>
          <cell r="G274" t="str">
            <v>iHawk</v>
          </cell>
          <cell r="I274">
            <v>2</v>
          </cell>
          <cell r="J274" t="str">
            <v>CU WIRE/φ2.4mil</v>
          </cell>
        </row>
        <row r="275">
          <cell r="B275" t="str">
            <v>SOD-123</v>
          </cell>
          <cell r="G275" t="str">
            <v xml:space="preserve">iHawk Xtreme </v>
          </cell>
          <cell r="I275">
            <v>1</v>
          </cell>
          <cell r="J275" t="str">
            <v>AU</v>
          </cell>
        </row>
        <row r="276">
          <cell r="B276" t="str">
            <v>SOD-123</v>
          </cell>
          <cell r="G276" t="str">
            <v>Eagle60</v>
          </cell>
          <cell r="I276">
            <v>1</v>
          </cell>
          <cell r="J276" t="str">
            <v>AG</v>
          </cell>
        </row>
        <row r="277">
          <cell r="B277" t="str">
            <v>SOD-123</v>
          </cell>
          <cell r="G277" t="str">
            <v xml:space="preserve">iHawk Xtreme </v>
          </cell>
          <cell r="I277">
            <v>1</v>
          </cell>
          <cell r="J277" t="str">
            <v>CU</v>
          </cell>
        </row>
        <row r="278">
          <cell r="B278" t="str">
            <v>SOD-123</v>
          </cell>
          <cell r="G278" t="str">
            <v xml:space="preserve">iHawk Xtreme </v>
          </cell>
          <cell r="I278">
            <v>2</v>
          </cell>
          <cell r="J278" t="str">
            <v>CU</v>
          </cell>
        </row>
        <row r="279">
          <cell r="B279" t="str">
            <v>SOD-123</v>
          </cell>
          <cell r="G279" t="str">
            <v>iHawk Xtreme GoCu</v>
          </cell>
          <cell r="I279">
            <v>1</v>
          </cell>
          <cell r="J279" t="str">
            <v>CU</v>
          </cell>
        </row>
        <row r="280">
          <cell r="B280" t="str">
            <v>SOD-123</v>
          </cell>
          <cell r="G280" t="str">
            <v>iHawk Xtreme GoCu</v>
          </cell>
          <cell r="I280">
            <v>2</v>
          </cell>
          <cell r="J280" t="str">
            <v>CU</v>
          </cell>
        </row>
        <row r="281">
          <cell r="B281" t="str">
            <v>SOD-123</v>
          </cell>
          <cell r="G281" t="str">
            <v>TwinEagle</v>
          </cell>
          <cell r="I281">
            <v>1</v>
          </cell>
          <cell r="J281" t="str">
            <v>AU</v>
          </cell>
        </row>
        <row r="282">
          <cell r="B282" t="str">
            <v>SOD-123</v>
          </cell>
          <cell r="G282" t="str">
            <v>TwinEagle</v>
          </cell>
          <cell r="I282">
            <v>1</v>
          </cell>
          <cell r="J282" t="str">
            <v>CU</v>
          </cell>
        </row>
        <row r="283">
          <cell r="B283" t="str">
            <v>SOD-123</v>
          </cell>
          <cell r="G283" t="str">
            <v>TwinEagle</v>
          </cell>
          <cell r="I283">
            <v>2</v>
          </cell>
          <cell r="J283" t="str">
            <v>CU</v>
          </cell>
        </row>
        <row r="284">
          <cell r="B284" t="str">
            <v>SOD-123</v>
          </cell>
          <cell r="G284" t="str">
            <v>ConnX Elite</v>
          </cell>
          <cell r="I284">
            <v>1</v>
          </cell>
          <cell r="J284" t="str">
            <v>CU</v>
          </cell>
        </row>
        <row r="285">
          <cell r="B285" t="str">
            <v>SOD-323</v>
          </cell>
          <cell r="G285" t="str">
            <v>Eagle60</v>
          </cell>
          <cell r="I285">
            <v>1</v>
          </cell>
          <cell r="J285" t="str">
            <v>AG</v>
          </cell>
        </row>
        <row r="286">
          <cell r="B286" t="str">
            <v>SOD-323</v>
          </cell>
          <cell r="G286" t="str">
            <v>Eagle60</v>
          </cell>
          <cell r="I286">
            <v>1</v>
          </cell>
          <cell r="J286" t="str">
            <v>AU</v>
          </cell>
        </row>
        <row r="287">
          <cell r="B287" t="str">
            <v>SOD-323</v>
          </cell>
          <cell r="G287" t="str">
            <v>Eagle60</v>
          </cell>
          <cell r="I287">
            <v>1</v>
          </cell>
          <cell r="J287" t="str">
            <v>CU</v>
          </cell>
        </row>
        <row r="288">
          <cell r="B288" t="str">
            <v>SOD-323</v>
          </cell>
          <cell r="G288" t="str">
            <v>Eagle60</v>
          </cell>
          <cell r="I288">
            <v>2</v>
          </cell>
          <cell r="J288" t="str">
            <v>AG</v>
          </cell>
        </row>
        <row r="289">
          <cell r="B289" t="str">
            <v>SOD-323</v>
          </cell>
          <cell r="G289" t="str">
            <v>Eagle60</v>
          </cell>
          <cell r="I289">
            <v>2</v>
          </cell>
          <cell r="J289" t="str">
            <v>CU</v>
          </cell>
        </row>
        <row r="290">
          <cell r="B290" t="str">
            <v>SOD-323</v>
          </cell>
          <cell r="G290" t="str">
            <v>Eagle60</v>
          </cell>
          <cell r="I290" t="str">
            <v>2DBSOB</v>
          </cell>
          <cell r="J290" t="str">
            <v>AU</v>
          </cell>
        </row>
        <row r="291">
          <cell r="B291" t="str">
            <v>SOD-323</v>
          </cell>
          <cell r="G291" t="str">
            <v>Eagle60</v>
          </cell>
          <cell r="I291" t="str">
            <v>4DBSOB</v>
          </cell>
          <cell r="J291" t="str">
            <v>AU</v>
          </cell>
        </row>
        <row r="292">
          <cell r="B292" t="str">
            <v>SOD-323</v>
          </cell>
          <cell r="G292" t="str">
            <v>iHawk</v>
          </cell>
          <cell r="I292">
            <v>1</v>
          </cell>
          <cell r="J292" t="str">
            <v>AU</v>
          </cell>
        </row>
        <row r="293">
          <cell r="B293" t="str">
            <v>SOD-323</v>
          </cell>
          <cell r="G293" t="str">
            <v>iHawk</v>
          </cell>
          <cell r="I293">
            <v>1</v>
          </cell>
          <cell r="J293" t="str">
            <v>CU</v>
          </cell>
        </row>
        <row r="294">
          <cell r="B294" t="str">
            <v>SOD-323</v>
          </cell>
          <cell r="G294" t="str">
            <v>iHawk</v>
          </cell>
          <cell r="I294">
            <v>2</v>
          </cell>
          <cell r="J294" t="str">
            <v>CU</v>
          </cell>
        </row>
        <row r="295">
          <cell r="B295" t="str">
            <v>SOD-323</v>
          </cell>
          <cell r="G295" t="str">
            <v xml:space="preserve">iHawk Xtreme </v>
          </cell>
          <cell r="I295">
            <v>1</v>
          </cell>
          <cell r="J295" t="str">
            <v>AU</v>
          </cell>
        </row>
        <row r="296">
          <cell r="B296" t="str">
            <v>SOD-323</v>
          </cell>
          <cell r="G296" t="str">
            <v xml:space="preserve">iHawk Xtreme </v>
          </cell>
          <cell r="I296">
            <v>1</v>
          </cell>
          <cell r="J296" t="str">
            <v>CU</v>
          </cell>
        </row>
        <row r="297">
          <cell r="B297" t="str">
            <v>SOD-323</v>
          </cell>
          <cell r="G297" t="str">
            <v xml:space="preserve">iHawk Xtreme </v>
          </cell>
          <cell r="I297">
            <v>2</v>
          </cell>
          <cell r="J297" t="str">
            <v>CU</v>
          </cell>
        </row>
        <row r="298">
          <cell r="B298" t="str">
            <v>SOD-323</v>
          </cell>
          <cell r="G298" t="str">
            <v>TwinEagle</v>
          </cell>
          <cell r="I298">
            <v>1</v>
          </cell>
          <cell r="J298" t="str">
            <v>CU</v>
          </cell>
        </row>
        <row r="299">
          <cell r="B299" t="str">
            <v>SOD-323</v>
          </cell>
          <cell r="G299" t="str">
            <v>TwinEagle</v>
          </cell>
          <cell r="I299">
            <v>2</v>
          </cell>
          <cell r="J299" t="str">
            <v>CU</v>
          </cell>
        </row>
        <row r="300">
          <cell r="B300" t="str">
            <v>SOD-323</v>
          </cell>
          <cell r="G300" t="str">
            <v>ConnX Elite</v>
          </cell>
          <cell r="I300">
            <v>1</v>
          </cell>
          <cell r="J300" t="str">
            <v>CU</v>
          </cell>
        </row>
        <row r="301">
          <cell r="B301" t="str">
            <v>SOD-323</v>
          </cell>
          <cell r="G301" t="str">
            <v>ConnX Elite</v>
          </cell>
          <cell r="I301">
            <v>2</v>
          </cell>
          <cell r="J301" t="str">
            <v>CU</v>
          </cell>
        </row>
        <row r="302">
          <cell r="B302" t="str">
            <v>SOD-323</v>
          </cell>
          <cell r="G302" t="str">
            <v>ConnX Elite</v>
          </cell>
          <cell r="I302" t="str">
            <v>2DBSOB</v>
          </cell>
          <cell r="J302" t="str">
            <v>AU</v>
          </cell>
        </row>
        <row r="303">
          <cell r="B303" t="str">
            <v>SOD-323</v>
          </cell>
          <cell r="G303" t="str">
            <v>ConnX Elite</v>
          </cell>
          <cell r="I303" t="str">
            <v>4DBSOB</v>
          </cell>
          <cell r="J303" t="str">
            <v>AU</v>
          </cell>
        </row>
        <row r="304">
          <cell r="B304" t="str">
            <v>SOD-523</v>
          </cell>
          <cell r="G304" t="str">
            <v>Eagle60</v>
          </cell>
          <cell r="I304">
            <v>1</v>
          </cell>
          <cell r="J304" t="str">
            <v>AG</v>
          </cell>
        </row>
        <row r="305">
          <cell r="B305" t="str">
            <v>SOD-523</v>
          </cell>
          <cell r="G305" t="str">
            <v>Eagle60</v>
          </cell>
          <cell r="I305">
            <v>1</v>
          </cell>
          <cell r="J305" t="str">
            <v>AU</v>
          </cell>
        </row>
        <row r="306">
          <cell r="B306" t="str">
            <v>SOD-523</v>
          </cell>
          <cell r="G306" t="str">
            <v>Eagle60</v>
          </cell>
          <cell r="I306">
            <v>1</v>
          </cell>
          <cell r="J306" t="str">
            <v>CU</v>
          </cell>
        </row>
        <row r="307">
          <cell r="B307" t="str">
            <v>SOD-523</v>
          </cell>
          <cell r="G307" t="str">
            <v>Eagle60</v>
          </cell>
          <cell r="I307" t="str">
            <v>BSOB</v>
          </cell>
          <cell r="J307" t="str">
            <v>AU</v>
          </cell>
        </row>
        <row r="308">
          <cell r="B308" t="str">
            <v>SOD-523</v>
          </cell>
          <cell r="G308" t="str">
            <v>iHawk</v>
          </cell>
          <cell r="I308">
            <v>1</v>
          </cell>
          <cell r="J308" t="str">
            <v>AU</v>
          </cell>
        </row>
        <row r="309">
          <cell r="B309" t="str">
            <v>SOD-523</v>
          </cell>
          <cell r="G309" t="str">
            <v>TwinEagle</v>
          </cell>
          <cell r="I309">
            <v>1</v>
          </cell>
          <cell r="J309" t="str">
            <v>AG</v>
          </cell>
        </row>
        <row r="310">
          <cell r="B310" t="str">
            <v>SOD-523</v>
          </cell>
          <cell r="G310" t="str">
            <v>TwinEagle</v>
          </cell>
          <cell r="I310">
            <v>1</v>
          </cell>
          <cell r="J310" t="str">
            <v>AU</v>
          </cell>
        </row>
        <row r="311">
          <cell r="B311" t="str">
            <v>SOD-523</v>
          </cell>
          <cell r="G311" t="str">
            <v>Eagle AERO GoCu</v>
          </cell>
          <cell r="I311">
            <v>1</v>
          </cell>
          <cell r="J311" t="str">
            <v>CU</v>
          </cell>
        </row>
        <row r="312">
          <cell r="B312" t="str">
            <v>SOD-523</v>
          </cell>
          <cell r="G312" t="str">
            <v>ConnX Elite</v>
          </cell>
          <cell r="I312">
            <v>1</v>
          </cell>
          <cell r="J312" t="str">
            <v>CU</v>
          </cell>
        </row>
        <row r="313">
          <cell r="B313" t="str">
            <v>SOD-923</v>
          </cell>
          <cell r="G313" t="str">
            <v>Eagle60</v>
          </cell>
          <cell r="I313">
            <v>1</v>
          </cell>
          <cell r="J313" t="str">
            <v>AU/BSOB</v>
          </cell>
        </row>
        <row r="314">
          <cell r="B314" t="str">
            <v>SOD-923</v>
          </cell>
          <cell r="G314" t="str">
            <v>iHawk</v>
          </cell>
          <cell r="I314">
            <v>1</v>
          </cell>
          <cell r="J314" t="str">
            <v>AU/BSOB</v>
          </cell>
        </row>
        <row r="315">
          <cell r="B315" t="str">
            <v>SOD-923</v>
          </cell>
          <cell r="G315" t="str">
            <v>TwinEagle</v>
          </cell>
          <cell r="I315">
            <v>1</v>
          </cell>
          <cell r="J315" t="str">
            <v>AU/BSOB</v>
          </cell>
        </row>
        <row r="316">
          <cell r="B316" t="str">
            <v>SOD-923</v>
          </cell>
          <cell r="G316" t="str">
            <v>ConnX Elite</v>
          </cell>
          <cell r="I316">
            <v>1</v>
          </cell>
          <cell r="J316" t="str">
            <v>AU/BSOB</v>
          </cell>
        </row>
        <row r="317">
          <cell r="B317" t="str">
            <v>SOT-23</v>
          </cell>
          <cell r="G317" t="str">
            <v>Eagle60</v>
          </cell>
          <cell r="I317">
            <v>1</v>
          </cell>
          <cell r="J317" t="str">
            <v>CU</v>
          </cell>
        </row>
        <row r="318">
          <cell r="B318" t="str">
            <v>SOT-23</v>
          </cell>
          <cell r="G318" t="str">
            <v>Eagle60</v>
          </cell>
          <cell r="I318">
            <v>2</v>
          </cell>
          <cell r="J318" t="str">
            <v>AG</v>
          </cell>
        </row>
        <row r="319">
          <cell r="B319" t="str">
            <v>SOT-23</v>
          </cell>
          <cell r="G319" t="str">
            <v>Eagle60</v>
          </cell>
          <cell r="I319">
            <v>2</v>
          </cell>
          <cell r="J319" t="str">
            <v>AU</v>
          </cell>
        </row>
        <row r="320">
          <cell r="B320" t="str">
            <v>SOT-23</v>
          </cell>
          <cell r="G320" t="str">
            <v>Eagle60</v>
          </cell>
          <cell r="I320">
            <v>2</v>
          </cell>
          <cell r="J320" t="str">
            <v>CU</v>
          </cell>
        </row>
        <row r="321">
          <cell r="B321" t="str">
            <v>SOT-23</v>
          </cell>
          <cell r="G321" t="str">
            <v>Eagle60</v>
          </cell>
          <cell r="I321" t="str">
            <v>BSOB</v>
          </cell>
          <cell r="J321" t="str">
            <v>AU</v>
          </cell>
        </row>
        <row r="322">
          <cell r="B322" t="str">
            <v>SOT-23</v>
          </cell>
          <cell r="G322" t="str">
            <v>iHawk</v>
          </cell>
          <cell r="I322">
            <v>1</v>
          </cell>
          <cell r="J322" t="str">
            <v>AU</v>
          </cell>
        </row>
        <row r="323">
          <cell r="B323" t="str">
            <v>SOT-23</v>
          </cell>
          <cell r="G323" t="str">
            <v>iHawk</v>
          </cell>
          <cell r="I323">
            <v>2</v>
          </cell>
          <cell r="J323" t="str">
            <v>AU</v>
          </cell>
        </row>
        <row r="324">
          <cell r="B324" t="str">
            <v>SOT-23</v>
          </cell>
          <cell r="G324" t="str">
            <v>iHawk</v>
          </cell>
          <cell r="I324">
            <v>2</v>
          </cell>
          <cell r="J324" t="str">
            <v>CU</v>
          </cell>
        </row>
        <row r="325">
          <cell r="B325" t="str">
            <v>SOT-23</v>
          </cell>
          <cell r="G325" t="str">
            <v>iHawk</v>
          </cell>
          <cell r="I325" t="str">
            <v>BSOB</v>
          </cell>
          <cell r="J325" t="str">
            <v>AU</v>
          </cell>
        </row>
        <row r="326">
          <cell r="B326" t="str">
            <v>SOT-23</v>
          </cell>
          <cell r="G326" t="str">
            <v xml:space="preserve">iHawk Xtreme </v>
          </cell>
          <cell r="I326">
            <v>1</v>
          </cell>
          <cell r="J326" t="str">
            <v>CU</v>
          </cell>
        </row>
        <row r="327">
          <cell r="B327" t="str">
            <v>SOT-23</v>
          </cell>
          <cell r="G327" t="str">
            <v xml:space="preserve">iHawk Xtreme </v>
          </cell>
          <cell r="I327">
            <v>2</v>
          </cell>
          <cell r="J327" t="str">
            <v>AG</v>
          </cell>
        </row>
        <row r="328">
          <cell r="B328" t="str">
            <v>SOT-23</v>
          </cell>
          <cell r="G328" t="str">
            <v xml:space="preserve">iHawk Xtreme </v>
          </cell>
          <cell r="I328">
            <v>2</v>
          </cell>
          <cell r="J328" t="str">
            <v>AU</v>
          </cell>
        </row>
        <row r="329">
          <cell r="B329" t="str">
            <v>SOT-23</v>
          </cell>
          <cell r="G329" t="str">
            <v xml:space="preserve">iHawk Xtreme </v>
          </cell>
          <cell r="I329">
            <v>2</v>
          </cell>
          <cell r="J329" t="str">
            <v>CU</v>
          </cell>
        </row>
        <row r="330">
          <cell r="B330" t="str">
            <v>SOT-23</v>
          </cell>
          <cell r="G330" t="str">
            <v xml:space="preserve">iHawk Xtreme </v>
          </cell>
          <cell r="I330">
            <v>5</v>
          </cell>
          <cell r="J330" t="str">
            <v>CU</v>
          </cell>
        </row>
        <row r="331">
          <cell r="B331" t="str">
            <v>SOT-23 Cu</v>
          </cell>
          <cell r="G331" t="str">
            <v>iHawk Xtreme GoCu</v>
          </cell>
          <cell r="I331">
            <v>2</v>
          </cell>
          <cell r="J331" t="str">
            <v>CU</v>
          </cell>
        </row>
        <row r="332">
          <cell r="B332" t="str">
            <v>SOT-23</v>
          </cell>
          <cell r="G332" t="str">
            <v>iHawk Xtreme GoCu</v>
          </cell>
          <cell r="I332">
            <v>1</v>
          </cell>
          <cell r="J332" t="str">
            <v>CU</v>
          </cell>
        </row>
        <row r="333">
          <cell r="B333" t="str">
            <v>SOT-23</v>
          </cell>
          <cell r="G333" t="str">
            <v>iHawk Xtreme GoCu</v>
          </cell>
          <cell r="I333">
            <v>2</v>
          </cell>
          <cell r="J333" t="str">
            <v>CU</v>
          </cell>
        </row>
        <row r="334">
          <cell r="B334" t="str">
            <v>SOT-23</v>
          </cell>
          <cell r="G334" t="str">
            <v>Eagle AERO GoCu</v>
          </cell>
          <cell r="I334">
            <v>2</v>
          </cell>
          <cell r="J334" t="str">
            <v>CU</v>
          </cell>
        </row>
        <row r="335">
          <cell r="B335" t="str">
            <v>SOT-23</v>
          </cell>
          <cell r="G335" t="str">
            <v>TwinEagle</v>
          </cell>
          <cell r="I335">
            <v>2</v>
          </cell>
          <cell r="J335" t="str">
            <v>AU</v>
          </cell>
        </row>
        <row r="336">
          <cell r="B336" t="str">
            <v>SOT-23</v>
          </cell>
          <cell r="G336" t="str">
            <v>TwinEagle</v>
          </cell>
          <cell r="I336">
            <v>2</v>
          </cell>
          <cell r="J336" t="str">
            <v>CU</v>
          </cell>
        </row>
        <row r="337">
          <cell r="B337" t="str">
            <v>SOT-23</v>
          </cell>
          <cell r="G337" t="str">
            <v>TwinEagle</v>
          </cell>
          <cell r="I337" t="str">
            <v>BSOB</v>
          </cell>
          <cell r="J337" t="str">
            <v>AU</v>
          </cell>
        </row>
        <row r="338">
          <cell r="B338" t="str">
            <v>SOT-23 Cu</v>
          </cell>
          <cell r="G338" t="str">
            <v>Eagle60</v>
          </cell>
          <cell r="I338">
            <v>4</v>
          </cell>
          <cell r="J338" t="str">
            <v>CU</v>
          </cell>
        </row>
        <row r="339">
          <cell r="B339" t="str">
            <v>SOT-23 Cu</v>
          </cell>
          <cell r="G339" t="str">
            <v>Eagle60</v>
          </cell>
          <cell r="I339">
            <v>5</v>
          </cell>
          <cell r="J339" t="str">
            <v>CU</v>
          </cell>
        </row>
        <row r="340">
          <cell r="B340" t="str">
            <v>SOT-23 Cu</v>
          </cell>
          <cell r="G340" t="str">
            <v>iHawk</v>
          </cell>
          <cell r="I340">
            <v>2</v>
          </cell>
          <cell r="J340" t="str">
            <v>AG</v>
          </cell>
        </row>
        <row r="341">
          <cell r="B341" t="str">
            <v>SOT-23 Cu</v>
          </cell>
          <cell r="G341" t="str">
            <v>iHawk</v>
          </cell>
          <cell r="I341">
            <v>2</v>
          </cell>
          <cell r="J341" t="str">
            <v>AU</v>
          </cell>
        </row>
        <row r="342">
          <cell r="B342" t="str">
            <v>SOT-23 Cu</v>
          </cell>
          <cell r="G342" t="str">
            <v>iHawk</v>
          </cell>
          <cell r="I342">
            <v>2</v>
          </cell>
          <cell r="J342" t="str">
            <v>CU</v>
          </cell>
        </row>
        <row r="343">
          <cell r="B343" t="str">
            <v>SOT-23 Cu</v>
          </cell>
          <cell r="G343" t="str">
            <v>iHawk</v>
          </cell>
          <cell r="I343">
            <v>4</v>
          </cell>
          <cell r="J343" t="str">
            <v>CU</v>
          </cell>
        </row>
        <row r="344">
          <cell r="B344" t="str">
            <v>SOT-23 Cu</v>
          </cell>
          <cell r="G344" t="str">
            <v>iHawk</v>
          </cell>
          <cell r="I344">
            <v>5</v>
          </cell>
          <cell r="J344" t="str">
            <v>CU</v>
          </cell>
        </row>
        <row r="345">
          <cell r="B345" t="str">
            <v>SOT-23 Cu</v>
          </cell>
          <cell r="G345" t="str">
            <v xml:space="preserve">iHawk Xtreme </v>
          </cell>
          <cell r="I345">
            <v>1</v>
          </cell>
          <cell r="J345" t="str">
            <v>CU</v>
          </cell>
        </row>
        <row r="346">
          <cell r="B346" t="str">
            <v>SOT-23 Cu</v>
          </cell>
          <cell r="G346" t="str">
            <v xml:space="preserve">iHawk Xtreme </v>
          </cell>
          <cell r="I346">
            <v>2</v>
          </cell>
          <cell r="J346" t="str">
            <v>AG</v>
          </cell>
        </row>
        <row r="347">
          <cell r="B347" t="str">
            <v>SOT-23 Cu</v>
          </cell>
          <cell r="G347" t="str">
            <v xml:space="preserve">iHawk Xtreme </v>
          </cell>
          <cell r="I347">
            <v>2</v>
          </cell>
          <cell r="J347" t="str">
            <v>AU</v>
          </cell>
        </row>
        <row r="348">
          <cell r="B348" t="str">
            <v>SOT-23 Cu</v>
          </cell>
          <cell r="G348" t="str">
            <v xml:space="preserve">iHawk Xtreme </v>
          </cell>
          <cell r="I348">
            <v>2</v>
          </cell>
          <cell r="J348" t="str">
            <v>CU</v>
          </cell>
        </row>
        <row r="349">
          <cell r="B349" t="str">
            <v>SOT-23 Cu</v>
          </cell>
          <cell r="G349" t="str">
            <v xml:space="preserve">iHawk Xtreme </v>
          </cell>
          <cell r="I349">
            <v>4</v>
          </cell>
          <cell r="J349" t="str">
            <v>CU</v>
          </cell>
        </row>
        <row r="350">
          <cell r="B350" t="str">
            <v>SOT-23 Cu</v>
          </cell>
          <cell r="G350" t="str">
            <v xml:space="preserve">iHawk Xtreme </v>
          </cell>
          <cell r="I350">
            <v>5</v>
          </cell>
          <cell r="J350" t="str">
            <v>CU</v>
          </cell>
        </row>
        <row r="351">
          <cell r="B351" t="str">
            <v>SOT-23 Cu</v>
          </cell>
          <cell r="G351" t="str">
            <v>ConnX Elite</v>
          </cell>
          <cell r="I351">
            <v>2</v>
          </cell>
          <cell r="J351" t="str">
            <v>CU</v>
          </cell>
        </row>
        <row r="352">
          <cell r="B352" t="str">
            <v>SOT-23</v>
          </cell>
          <cell r="G352" t="str">
            <v>ConnX Elite</v>
          </cell>
          <cell r="I352">
            <v>2</v>
          </cell>
          <cell r="J352" t="str">
            <v>Au</v>
          </cell>
        </row>
        <row r="353">
          <cell r="B353" t="str">
            <v>SOT-23 Cu</v>
          </cell>
          <cell r="G353" t="str">
            <v>ConnX Elite</v>
          </cell>
          <cell r="I353">
            <v>1</v>
          </cell>
          <cell r="J353" t="str">
            <v>CU</v>
          </cell>
        </row>
        <row r="354">
          <cell r="B354" t="str">
            <v>SOT-23 Cu</v>
          </cell>
          <cell r="G354" t="str">
            <v>ConnX Elite</v>
          </cell>
          <cell r="I354">
            <v>4</v>
          </cell>
          <cell r="J354" t="str">
            <v>CU</v>
          </cell>
        </row>
        <row r="355">
          <cell r="B355" t="str">
            <v>SOT-23 Cu</v>
          </cell>
          <cell r="G355" t="str">
            <v>Eagle AERO GoCu</v>
          </cell>
          <cell r="I355">
            <v>2</v>
          </cell>
          <cell r="J355" t="str">
            <v>CU</v>
          </cell>
        </row>
        <row r="356">
          <cell r="B356" t="str">
            <v>SOT-23 Cu</v>
          </cell>
          <cell r="G356" t="str">
            <v>Eagle AERO GoCu</v>
          </cell>
          <cell r="I356">
            <v>4</v>
          </cell>
          <cell r="J356" t="str">
            <v>CU</v>
          </cell>
        </row>
        <row r="357">
          <cell r="B357" t="str">
            <v>SOT-323</v>
          </cell>
          <cell r="G357" t="str">
            <v>Eagle AERO GoCu</v>
          </cell>
          <cell r="I357">
            <v>2</v>
          </cell>
          <cell r="J357" t="str">
            <v>CU</v>
          </cell>
        </row>
        <row r="358">
          <cell r="B358" t="str">
            <v>SOT-323</v>
          </cell>
          <cell r="G358" t="str">
            <v>Eagle60</v>
          </cell>
          <cell r="I358">
            <v>1</v>
          </cell>
          <cell r="J358" t="str">
            <v>CU</v>
          </cell>
        </row>
        <row r="359">
          <cell r="B359" t="str">
            <v>SOT-23 Cu</v>
          </cell>
          <cell r="G359" t="str">
            <v>Eagle60</v>
          </cell>
          <cell r="I359">
            <v>1</v>
          </cell>
          <cell r="J359" t="str">
            <v>CU</v>
          </cell>
        </row>
        <row r="360">
          <cell r="B360" t="str">
            <v>SOT-23 Cu</v>
          </cell>
          <cell r="G360" t="str">
            <v>Eagle60</v>
          </cell>
          <cell r="I360">
            <v>2</v>
          </cell>
          <cell r="J360" t="str">
            <v>CU</v>
          </cell>
        </row>
        <row r="361">
          <cell r="B361" t="str">
            <v>SOT-323</v>
          </cell>
          <cell r="G361" t="str">
            <v>Eagle60</v>
          </cell>
          <cell r="I361">
            <v>2</v>
          </cell>
          <cell r="J361" t="str">
            <v>AG</v>
          </cell>
        </row>
        <row r="362">
          <cell r="B362" t="str">
            <v>SOT-323</v>
          </cell>
          <cell r="G362" t="str">
            <v>Eagle60</v>
          </cell>
          <cell r="I362">
            <v>2</v>
          </cell>
          <cell r="J362" t="str">
            <v>AU</v>
          </cell>
        </row>
        <row r="363">
          <cell r="B363" t="str">
            <v>SOT-323</v>
          </cell>
          <cell r="G363" t="str">
            <v>Eagle60</v>
          </cell>
          <cell r="I363">
            <v>2</v>
          </cell>
          <cell r="J363" t="str">
            <v>CU</v>
          </cell>
        </row>
        <row r="364">
          <cell r="B364" t="str">
            <v>SOT-323</v>
          </cell>
          <cell r="G364" t="str">
            <v>ConnX Elite</v>
          </cell>
          <cell r="I364">
            <v>2</v>
          </cell>
          <cell r="J364" t="str">
            <v>CU</v>
          </cell>
        </row>
        <row r="365">
          <cell r="B365" t="str">
            <v>SOT-323</v>
          </cell>
          <cell r="G365" t="str">
            <v>Eagle60</v>
          </cell>
          <cell r="I365">
            <v>2</v>
          </cell>
          <cell r="J365" t="str">
            <v>CU</v>
          </cell>
        </row>
        <row r="366">
          <cell r="B366" t="str">
            <v>SOT-323</v>
          </cell>
          <cell r="G366" t="str">
            <v>iHawk</v>
          </cell>
          <cell r="I366">
            <v>2</v>
          </cell>
          <cell r="J366" t="str">
            <v>CU</v>
          </cell>
        </row>
        <row r="367">
          <cell r="B367" t="str">
            <v>SOT-323</v>
          </cell>
          <cell r="G367" t="str">
            <v>iHawk</v>
          </cell>
          <cell r="I367">
            <v>4</v>
          </cell>
          <cell r="J367" t="str">
            <v>CU</v>
          </cell>
        </row>
        <row r="368">
          <cell r="B368" t="str">
            <v>SOT-323</v>
          </cell>
          <cell r="G368" t="str">
            <v xml:space="preserve">iHawk Xtreme </v>
          </cell>
          <cell r="I368">
            <v>2</v>
          </cell>
          <cell r="J368" t="str">
            <v>AG</v>
          </cell>
        </row>
        <row r="369">
          <cell r="B369" t="str">
            <v>SOT-323</v>
          </cell>
          <cell r="G369" t="str">
            <v xml:space="preserve">iHawk Xtreme </v>
          </cell>
          <cell r="I369">
            <v>2</v>
          </cell>
          <cell r="J369" t="str">
            <v>AU</v>
          </cell>
        </row>
        <row r="370">
          <cell r="B370" t="str">
            <v>SOT-323</v>
          </cell>
          <cell r="G370" t="str">
            <v xml:space="preserve">iHawk Xtreme </v>
          </cell>
          <cell r="I370">
            <v>2</v>
          </cell>
          <cell r="J370" t="str">
            <v>CU</v>
          </cell>
        </row>
        <row r="371">
          <cell r="B371" t="str">
            <v>SOT-323</v>
          </cell>
          <cell r="G371" t="str">
            <v>iHawk Xtreme GoCu</v>
          </cell>
          <cell r="I371">
            <v>2</v>
          </cell>
          <cell r="J371" t="str">
            <v>AG</v>
          </cell>
        </row>
        <row r="372">
          <cell r="B372" t="str">
            <v>SOT-323</v>
          </cell>
          <cell r="G372" t="str">
            <v>iHawk Xtreme GoCu</v>
          </cell>
          <cell r="I372">
            <v>2</v>
          </cell>
          <cell r="J372" t="str">
            <v>CU</v>
          </cell>
        </row>
        <row r="373">
          <cell r="B373" t="str">
            <v>SOT-323</v>
          </cell>
          <cell r="G373" t="str">
            <v>TwinEagle</v>
          </cell>
          <cell r="I373">
            <v>1</v>
          </cell>
          <cell r="J373" t="str">
            <v>AU</v>
          </cell>
        </row>
        <row r="374">
          <cell r="B374" t="str">
            <v>SOT-323</v>
          </cell>
          <cell r="G374" t="str">
            <v>TwinEagle</v>
          </cell>
          <cell r="I374">
            <v>2</v>
          </cell>
          <cell r="J374" t="str">
            <v>AG</v>
          </cell>
        </row>
        <row r="375">
          <cell r="B375" t="str">
            <v>SOT-323</v>
          </cell>
          <cell r="G375" t="str">
            <v>TwinEagle</v>
          </cell>
          <cell r="I375">
            <v>2</v>
          </cell>
          <cell r="J375" t="str">
            <v>CU</v>
          </cell>
        </row>
        <row r="376">
          <cell r="B376" t="str">
            <v>SOT-363</v>
          </cell>
          <cell r="G376" t="str">
            <v>Eagle60</v>
          </cell>
          <cell r="I376">
            <v>4</v>
          </cell>
          <cell r="J376" t="str">
            <v>CU</v>
          </cell>
        </row>
        <row r="377">
          <cell r="B377" t="str">
            <v>SOT-363</v>
          </cell>
          <cell r="G377" t="str">
            <v>iHawk</v>
          </cell>
          <cell r="I377">
            <v>4</v>
          </cell>
          <cell r="J377" t="str">
            <v>AG</v>
          </cell>
        </row>
        <row r="378">
          <cell r="B378" t="str">
            <v>SOT-363</v>
          </cell>
          <cell r="G378" t="str">
            <v>iHawk</v>
          </cell>
          <cell r="I378">
            <v>4</v>
          </cell>
          <cell r="J378" t="str">
            <v>AU</v>
          </cell>
        </row>
        <row r="379">
          <cell r="B379" t="str">
            <v>SOT-363</v>
          </cell>
          <cell r="G379" t="str">
            <v>iHawk</v>
          </cell>
          <cell r="I379">
            <v>4</v>
          </cell>
          <cell r="J379" t="str">
            <v>CU</v>
          </cell>
        </row>
        <row r="380">
          <cell r="B380" t="str">
            <v>SOT-363</v>
          </cell>
          <cell r="G380" t="str">
            <v>iHawk</v>
          </cell>
          <cell r="I380">
            <v>5</v>
          </cell>
          <cell r="J380" t="str">
            <v>CU</v>
          </cell>
        </row>
        <row r="381">
          <cell r="B381" t="str">
            <v>SOT-363</v>
          </cell>
          <cell r="G381" t="str">
            <v>iHawk</v>
          </cell>
          <cell r="I381">
            <v>6</v>
          </cell>
          <cell r="J381" t="str">
            <v>CU</v>
          </cell>
        </row>
        <row r="382">
          <cell r="B382" t="str">
            <v>SOT-363</v>
          </cell>
          <cell r="G382" t="str">
            <v>iHawk</v>
          </cell>
          <cell r="I382">
            <v>7</v>
          </cell>
          <cell r="J382" t="str">
            <v>AU</v>
          </cell>
        </row>
        <row r="383">
          <cell r="B383" t="str">
            <v>SOT-363</v>
          </cell>
          <cell r="G383" t="str">
            <v>iHawk</v>
          </cell>
          <cell r="I383">
            <v>7</v>
          </cell>
          <cell r="J383" t="str">
            <v>CU</v>
          </cell>
        </row>
        <row r="384">
          <cell r="B384" t="str">
            <v>SOT-363</v>
          </cell>
          <cell r="G384" t="str">
            <v>iHawk</v>
          </cell>
          <cell r="I384">
            <v>8</v>
          </cell>
          <cell r="J384" t="str">
            <v>AU</v>
          </cell>
        </row>
        <row r="385">
          <cell r="B385" t="str">
            <v>SOT-363</v>
          </cell>
          <cell r="G385" t="str">
            <v>iHawk</v>
          </cell>
          <cell r="I385">
            <v>10</v>
          </cell>
          <cell r="J385" t="str">
            <v>AU</v>
          </cell>
        </row>
        <row r="386">
          <cell r="B386" t="str">
            <v>SOT-363</v>
          </cell>
          <cell r="G386" t="str">
            <v>iHawk</v>
          </cell>
          <cell r="I386">
            <v>10</v>
          </cell>
          <cell r="J386" t="str">
            <v>CU</v>
          </cell>
        </row>
        <row r="387">
          <cell r="B387" t="str">
            <v>SOT-363</v>
          </cell>
          <cell r="G387" t="str">
            <v xml:space="preserve">iHawk Xtreme </v>
          </cell>
          <cell r="I387">
            <v>2</v>
          </cell>
          <cell r="J387" t="str">
            <v>CU</v>
          </cell>
        </row>
        <row r="388">
          <cell r="B388" t="str">
            <v>SOT-363</v>
          </cell>
          <cell r="G388" t="str">
            <v xml:space="preserve">iHawk Xtreme </v>
          </cell>
          <cell r="I388">
            <v>4</v>
          </cell>
          <cell r="J388" t="str">
            <v>AU</v>
          </cell>
        </row>
        <row r="389">
          <cell r="B389" t="str">
            <v>SOT-363</v>
          </cell>
          <cell r="G389" t="str">
            <v xml:space="preserve">iHawk Xtreme </v>
          </cell>
          <cell r="I389">
            <v>4</v>
          </cell>
          <cell r="J389" t="str">
            <v>CU</v>
          </cell>
        </row>
        <row r="390">
          <cell r="B390" t="str">
            <v>SOT-363</v>
          </cell>
          <cell r="G390" t="str">
            <v xml:space="preserve">iHawk Xtreme </v>
          </cell>
          <cell r="I390">
            <v>10</v>
          </cell>
          <cell r="J390" t="str">
            <v>AU</v>
          </cell>
        </row>
        <row r="391">
          <cell r="B391" t="str">
            <v>SOT-363</v>
          </cell>
          <cell r="G391" t="str">
            <v>iHawk Xtreme GoCu</v>
          </cell>
          <cell r="I391">
            <v>4</v>
          </cell>
          <cell r="J391" t="str">
            <v>CU</v>
          </cell>
        </row>
        <row r="392">
          <cell r="B392" t="str">
            <v>SOT-363</v>
          </cell>
          <cell r="G392" t="str">
            <v>iHawk Xtreme GoCu</v>
          </cell>
          <cell r="I392">
            <v>4</v>
          </cell>
          <cell r="J392" t="str">
            <v>AG</v>
          </cell>
        </row>
        <row r="393">
          <cell r="B393" t="str">
            <v>SOT-363</v>
          </cell>
          <cell r="G393" t="str">
            <v>TwinEagle</v>
          </cell>
          <cell r="I393">
            <v>4</v>
          </cell>
          <cell r="J393" t="str">
            <v>AG</v>
          </cell>
        </row>
        <row r="394">
          <cell r="B394" t="str">
            <v>SOT-363</v>
          </cell>
          <cell r="G394" t="str">
            <v>TwinEagle</v>
          </cell>
          <cell r="I394">
            <v>4</v>
          </cell>
          <cell r="J394" t="str">
            <v>AU</v>
          </cell>
        </row>
        <row r="395">
          <cell r="B395" t="str">
            <v>SOT-363</v>
          </cell>
          <cell r="G395" t="str">
            <v>TwinEagle</v>
          </cell>
          <cell r="I395">
            <v>3</v>
          </cell>
          <cell r="J395" t="str">
            <v>CU</v>
          </cell>
        </row>
        <row r="396">
          <cell r="B396" t="str">
            <v>SOT-363</v>
          </cell>
          <cell r="G396" t="str">
            <v>TwinEagle</v>
          </cell>
          <cell r="I396">
            <v>4</v>
          </cell>
          <cell r="J396" t="str">
            <v>CU</v>
          </cell>
        </row>
        <row r="397">
          <cell r="B397" t="str">
            <v>SOT-363</v>
          </cell>
          <cell r="G397" t="str">
            <v>TwinEagle</v>
          </cell>
          <cell r="I397">
            <v>5</v>
          </cell>
          <cell r="J397" t="str">
            <v>AU</v>
          </cell>
        </row>
        <row r="398">
          <cell r="B398" t="str">
            <v>SOT-363</v>
          </cell>
          <cell r="G398" t="str">
            <v>ConnX Elite</v>
          </cell>
          <cell r="I398">
            <v>4</v>
          </cell>
          <cell r="J398" t="str">
            <v>CU</v>
          </cell>
        </row>
        <row r="399">
          <cell r="B399" t="str">
            <v>SOT-363</v>
          </cell>
          <cell r="G399" t="str">
            <v>ConnX Elite</v>
          </cell>
          <cell r="I399">
            <v>5</v>
          </cell>
          <cell r="J399" t="str">
            <v>CU</v>
          </cell>
        </row>
        <row r="400">
          <cell r="B400" t="str">
            <v>SOT-363</v>
          </cell>
          <cell r="G400" t="str">
            <v>ConnX Elite</v>
          </cell>
          <cell r="I400">
            <v>6</v>
          </cell>
          <cell r="J400" t="str">
            <v>CU</v>
          </cell>
        </row>
        <row r="401">
          <cell r="B401" t="str">
            <v>SOT-363</v>
          </cell>
          <cell r="G401" t="str">
            <v>ConnX Elite</v>
          </cell>
          <cell r="I401">
            <v>7</v>
          </cell>
          <cell r="J401" t="str">
            <v>CU</v>
          </cell>
        </row>
        <row r="402">
          <cell r="B402" t="str">
            <v>SOT-363</v>
          </cell>
          <cell r="G402" t="str">
            <v>Eagle AERO GoCu</v>
          </cell>
          <cell r="I402">
            <v>4</v>
          </cell>
          <cell r="J402" t="str">
            <v>CU</v>
          </cell>
        </row>
        <row r="403">
          <cell r="B403" t="str">
            <v>SOT-363 CU</v>
          </cell>
          <cell r="G403" t="str">
            <v>ConnX Elite</v>
          </cell>
          <cell r="I403">
            <v>4</v>
          </cell>
          <cell r="J403" t="str">
            <v>CU</v>
          </cell>
        </row>
        <row r="404">
          <cell r="B404" t="str">
            <v>SOT-363 CU</v>
          </cell>
          <cell r="G404" t="str">
            <v>ConnX Elite</v>
          </cell>
          <cell r="I404">
            <v>7</v>
          </cell>
          <cell r="J404" t="str">
            <v>CU</v>
          </cell>
        </row>
        <row r="405">
          <cell r="B405" t="str">
            <v>SOT-523</v>
          </cell>
          <cell r="G405" t="str">
            <v>Eagle60</v>
          </cell>
          <cell r="I405">
            <v>2</v>
          </cell>
          <cell r="J405" t="str">
            <v>AG</v>
          </cell>
        </row>
        <row r="406">
          <cell r="B406" t="str">
            <v>SOT-523</v>
          </cell>
          <cell r="G406" t="str">
            <v>Eagle60</v>
          </cell>
          <cell r="I406">
            <v>2</v>
          </cell>
          <cell r="J406" t="str">
            <v>AU</v>
          </cell>
        </row>
        <row r="407">
          <cell r="B407" t="str">
            <v>SOT-523</v>
          </cell>
          <cell r="G407" t="str">
            <v>Eagle60</v>
          </cell>
          <cell r="I407">
            <v>2</v>
          </cell>
          <cell r="J407" t="str">
            <v>CU</v>
          </cell>
        </row>
        <row r="408">
          <cell r="B408" t="str">
            <v>SOT-523</v>
          </cell>
          <cell r="G408" t="str">
            <v>Eagle60</v>
          </cell>
          <cell r="I408">
            <v>4</v>
          </cell>
          <cell r="J408" t="str">
            <v>CU</v>
          </cell>
        </row>
        <row r="409">
          <cell r="B409" t="str">
            <v>SOT-523</v>
          </cell>
          <cell r="G409" t="str">
            <v>iHawk</v>
          </cell>
          <cell r="I409">
            <v>2</v>
          </cell>
          <cell r="J409" t="str">
            <v>AG</v>
          </cell>
        </row>
        <row r="410">
          <cell r="B410" t="str">
            <v>SOT-523</v>
          </cell>
          <cell r="G410" t="str">
            <v>iHawk</v>
          </cell>
          <cell r="I410">
            <v>2</v>
          </cell>
          <cell r="J410" t="str">
            <v>AU</v>
          </cell>
        </row>
        <row r="411">
          <cell r="B411" t="str">
            <v>SOT-523</v>
          </cell>
          <cell r="G411" t="str">
            <v>ConnX Elite</v>
          </cell>
          <cell r="I411">
            <v>2</v>
          </cell>
          <cell r="J411" t="str">
            <v>CU</v>
          </cell>
        </row>
        <row r="412">
          <cell r="B412" t="str">
            <v>SOT-523</v>
          </cell>
          <cell r="G412" t="str">
            <v>iHawk</v>
          </cell>
          <cell r="I412">
            <v>2</v>
          </cell>
          <cell r="J412" t="str">
            <v>CU</v>
          </cell>
        </row>
        <row r="413">
          <cell r="B413" t="str">
            <v>SOT-523</v>
          </cell>
          <cell r="G413" t="str">
            <v xml:space="preserve">iHawk Xtreme </v>
          </cell>
          <cell r="I413">
            <v>2</v>
          </cell>
          <cell r="J413" t="str">
            <v>AG</v>
          </cell>
        </row>
        <row r="414">
          <cell r="B414" t="str">
            <v>SOT-523</v>
          </cell>
          <cell r="G414" t="str">
            <v>TwinEagle</v>
          </cell>
          <cell r="I414">
            <v>1</v>
          </cell>
          <cell r="J414" t="str">
            <v>AG</v>
          </cell>
        </row>
        <row r="415">
          <cell r="B415" t="str">
            <v>SOT-523</v>
          </cell>
          <cell r="G415" t="str">
            <v>TwinEagle</v>
          </cell>
          <cell r="I415">
            <v>2</v>
          </cell>
          <cell r="J415" t="str">
            <v>AG</v>
          </cell>
        </row>
        <row r="416">
          <cell r="B416" t="str">
            <v>SOT-523</v>
          </cell>
          <cell r="G416" t="str">
            <v>TwinEagle</v>
          </cell>
          <cell r="I416">
            <v>2</v>
          </cell>
          <cell r="J416" t="str">
            <v>AU</v>
          </cell>
        </row>
        <row r="417">
          <cell r="B417" t="str">
            <v>SOT-523</v>
          </cell>
          <cell r="G417" t="str">
            <v>ConnX Elite</v>
          </cell>
          <cell r="I417">
            <v>2</v>
          </cell>
          <cell r="J417" t="str">
            <v>AG</v>
          </cell>
        </row>
        <row r="418">
          <cell r="B418" t="str">
            <v>SOT-523</v>
          </cell>
          <cell r="G418" t="str">
            <v>ConnX Elite</v>
          </cell>
          <cell r="I418">
            <v>2</v>
          </cell>
          <cell r="J418" t="str">
            <v>AU</v>
          </cell>
        </row>
        <row r="419">
          <cell r="B419" t="str">
            <v>SOT-563</v>
          </cell>
          <cell r="G419" t="str">
            <v>Eagle AERO GoCu</v>
          </cell>
          <cell r="I419">
            <v>2</v>
          </cell>
          <cell r="J419" t="str">
            <v>CU</v>
          </cell>
        </row>
        <row r="420">
          <cell r="B420" t="str">
            <v>SOT-563</v>
          </cell>
          <cell r="G420" t="str">
            <v>Eagle60</v>
          </cell>
          <cell r="I420">
            <v>4</v>
          </cell>
          <cell r="J420" t="str">
            <v>CU</v>
          </cell>
        </row>
        <row r="421">
          <cell r="B421" t="str">
            <v>SOT-563</v>
          </cell>
          <cell r="G421" t="str">
            <v>Eagle60</v>
          </cell>
          <cell r="I421">
            <v>4</v>
          </cell>
          <cell r="J421" t="str">
            <v>AG</v>
          </cell>
        </row>
        <row r="422">
          <cell r="B422" t="str">
            <v>SOT-563</v>
          </cell>
          <cell r="G422" t="str">
            <v>Eagle60</v>
          </cell>
          <cell r="I422">
            <v>4</v>
          </cell>
          <cell r="J422" t="str">
            <v>AU</v>
          </cell>
        </row>
        <row r="423">
          <cell r="B423" t="str">
            <v>SOT-563</v>
          </cell>
          <cell r="G423" t="str">
            <v>Eagle60</v>
          </cell>
          <cell r="I423">
            <v>5</v>
          </cell>
          <cell r="J423" t="str">
            <v>AU</v>
          </cell>
        </row>
        <row r="424">
          <cell r="B424" t="str">
            <v>SOT-563</v>
          </cell>
          <cell r="G424" t="str">
            <v>Eagle60</v>
          </cell>
          <cell r="I424" t="str">
            <v>2Y</v>
          </cell>
          <cell r="J424" t="str">
            <v>AU</v>
          </cell>
        </row>
        <row r="425">
          <cell r="B425" t="str">
            <v>SOT-563</v>
          </cell>
          <cell r="G425" t="str">
            <v>iHawk</v>
          </cell>
          <cell r="I425">
            <v>4</v>
          </cell>
          <cell r="J425" t="str">
            <v>AG</v>
          </cell>
        </row>
        <row r="426">
          <cell r="B426" t="str">
            <v>SOT-563</v>
          </cell>
          <cell r="G426" t="str">
            <v>iHawk</v>
          </cell>
          <cell r="I426">
            <v>4</v>
          </cell>
          <cell r="J426" t="str">
            <v>AU</v>
          </cell>
        </row>
        <row r="427">
          <cell r="B427" t="str">
            <v>SOT-563</v>
          </cell>
          <cell r="G427" t="str">
            <v>Eagle60</v>
          </cell>
          <cell r="I427">
            <v>2</v>
          </cell>
          <cell r="J427" t="str">
            <v>Au</v>
          </cell>
        </row>
        <row r="428">
          <cell r="B428" t="str">
            <v>SOT-563</v>
          </cell>
          <cell r="G428" t="str">
            <v>iHawk Xtreme GoCu</v>
          </cell>
          <cell r="I428">
            <v>2</v>
          </cell>
          <cell r="J428" t="str">
            <v>CU</v>
          </cell>
        </row>
        <row r="429">
          <cell r="B429" t="str">
            <v>SOT-563</v>
          </cell>
          <cell r="G429" t="str">
            <v>TwinEagle</v>
          </cell>
          <cell r="I429">
            <v>4</v>
          </cell>
          <cell r="J429" t="str">
            <v>AG</v>
          </cell>
        </row>
        <row r="430">
          <cell r="B430" t="str">
            <v>SOT-563</v>
          </cell>
          <cell r="G430" t="str">
            <v>TwinEagle</v>
          </cell>
          <cell r="I430">
            <v>4</v>
          </cell>
          <cell r="J430" t="str">
            <v>AU</v>
          </cell>
        </row>
        <row r="431">
          <cell r="B431" t="str">
            <v>SOT-563</v>
          </cell>
          <cell r="G431" t="str">
            <v>TwinEagle</v>
          </cell>
          <cell r="I431">
            <v>4</v>
          </cell>
          <cell r="J431" t="str">
            <v>Cu</v>
          </cell>
        </row>
        <row r="432">
          <cell r="B432" t="str">
            <v>SOT-563</v>
          </cell>
          <cell r="G432" t="str">
            <v>ConnX Elite</v>
          </cell>
          <cell r="I432">
            <v>4</v>
          </cell>
          <cell r="J432" t="str">
            <v>AG</v>
          </cell>
        </row>
        <row r="433">
          <cell r="B433" t="str">
            <v>SOT-523 HD</v>
          </cell>
          <cell r="G433" t="str">
            <v>ConnX Elite</v>
          </cell>
          <cell r="I433">
            <v>2</v>
          </cell>
          <cell r="J433" t="str">
            <v>CU</v>
          </cell>
        </row>
        <row r="434">
          <cell r="B434" t="str">
            <v>SOT-523 HD</v>
          </cell>
          <cell r="G434" t="str">
            <v>ConnX Elite</v>
          </cell>
          <cell r="I434">
            <v>2</v>
          </cell>
          <cell r="J434" t="str">
            <v>AG</v>
          </cell>
        </row>
        <row r="435">
          <cell r="B435" t="str">
            <v>SOT-523 HD</v>
          </cell>
          <cell r="G435" t="str">
            <v>ConnX Elite</v>
          </cell>
          <cell r="I435">
            <v>2</v>
          </cell>
          <cell r="J435" t="str">
            <v>AU</v>
          </cell>
        </row>
        <row r="436">
          <cell r="B436" t="str">
            <v>SC-89</v>
          </cell>
          <cell r="G436" t="str">
            <v>ConnX Elite</v>
          </cell>
          <cell r="I436">
            <v>2</v>
          </cell>
          <cell r="J436" t="str">
            <v>AU</v>
          </cell>
        </row>
        <row r="437">
          <cell r="B437" t="str">
            <v>SOT-563 HD</v>
          </cell>
          <cell r="G437" t="str">
            <v>ConnX Elite</v>
          </cell>
          <cell r="I437">
            <v>4</v>
          </cell>
          <cell r="J437" t="str">
            <v>CU</v>
          </cell>
        </row>
        <row r="438">
          <cell r="B438" t="str">
            <v>SOT-563 HD</v>
          </cell>
          <cell r="G438" t="str">
            <v>ConnX Elite</v>
          </cell>
          <cell r="I438">
            <v>4</v>
          </cell>
          <cell r="J438" t="str">
            <v>AG</v>
          </cell>
        </row>
        <row r="439">
          <cell r="B439" t="str">
            <v>SOT-563 HD</v>
          </cell>
          <cell r="G439" t="str">
            <v>ConnX Elite</v>
          </cell>
          <cell r="I439">
            <v>4</v>
          </cell>
          <cell r="J439" t="str">
            <v>AU</v>
          </cell>
        </row>
        <row r="440">
          <cell r="B440" t="str">
            <v>SOT-363</v>
          </cell>
          <cell r="G440" t="str">
            <v>ConnX Elite</v>
          </cell>
          <cell r="I440">
            <v>4</v>
          </cell>
          <cell r="J440" t="str">
            <v>AU</v>
          </cell>
        </row>
        <row r="441">
          <cell r="B441" t="str">
            <v>SOT-323 HD</v>
          </cell>
          <cell r="G441" t="str">
            <v>ConnX Elite</v>
          </cell>
          <cell r="I441">
            <v>2</v>
          </cell>
          <cell r="J441" t="str">
            <v>CU</v>
          </cell>
        </row>
        <row r="442">
          <cell r="B442" t="str">
            <v>SOD-323 HD</v>
          </cell>
          <cell r="G442" t="str">
            <v>ConnX Elite</v>
          </cell>
          <cell r="I442">
            <v>1</v>
          </cell>
        </row>
        <row r="443">
          <cell r="B443" t="str">
            <v>SOD-123</v>
          </cell>
          <cell r="G443" t="str">
            <v>ConnX Elite</v>
          </cell>
          <cell r="I443">
            <v>1</v>
          </cell>
          <cell r="J443" t="str">
            <v>1.2mil/Cu:車規/非車規</v>
          </cell>
        </row>
        <row r="444">
          <cell r="B444" t="str">
            <v>SOD-323</v>
          </cell>
          <cell r="G444" t="str">
            <v>ConnX Elite</v>
          </cell>
          <cell r="I444">
            <v>1</v>
          </cell>
          <cell r="J444" t="str">
            <v>1.0mil/Cu:車規/非車規</v>
          </cell>
        </row>
        <row r="445">
          <cell r="B445" t="str">
            <v>SOT-23</v>
          </cell>
          <cell r="G445" t="str">
            <v>ConnX Elite</v>
          </cell>
          <cell r="I445">
            <v>2</v>
          </cell>
          <cell r="J445" t="str">
            <v>Cu</v>
          </cell>
        </row>
        <row r="446">
          <cell r="B446" t="str">
            <v>SOT-23 Cu</v>
          </cell>
          <cell r="G446" t="str">
            <v>ConnX Elite</v>
          </cell>
          <cell r="I446">
            <v>2</v>
          </cell>
          <cell r="J446" t="str">
            <v>CU</v>
          </cell>
        </row>
        <row r="447">
          <cell r="B447" t="str">
            <v>SOD-923</v>
          </cell>
          <cell r="G447" t="str">
            <v>ConnX Elite</v>
          </cell>
          <cell r="I447">
            <v>1</v>
          </cell>
          <cell r="J447" t="str">
            <v>CU</v>
          </cell>
        </row>
        <row r="452">
          <cell r="B452" t="str">
            <v>SOD-323HE</v>
          </cell>
          <cell r="G452" t="str">
            <v>Eagle60</v>
          </cell>
          <cell r="I452">
            <v>1</v>
          </cell>
          <cell r="J452" t="str">
            <v>AU</v>
          </cell>
        </row>
        <row r="453">
          <cell r="B453" t="str">
            <v>SOD-323HE</v>
          </cell>
          <cell r="G453" t="str">
            <v>Eagle60</v>
          </cell>
          <cell r="I453">
            <v>1</v>
          </cell>
          <cell r="J453" t="str">
            <v>CU</v>
          </cell>
        </row>
        <row r="454">
          <cell r="B454" t="str">
            <v>SOD-323HE</v>
          </cell>
          <cell r="G454" t="str">
            <v>iHawk</v>
          </cell>
          <cell r="I454">
            <v>1</v>
          </cell>
          <cell r="J454" t="str">
            <v>CU</v>
          </cell>
        </row>
        <row r="455">
          <cell r="B455" t="str">
            <v>SOD-323HE</v>
          </cell>
          <cell r="G455" t="str">
            <v>ConnX Elite</v>
          </cell>
          <cell r="I455">
            <v>1</v>
          </cell>
          <cell r="J455" t="str">
            <v>CU</v>
          </cell>
        </row>
        <row r="456">
          <cell r="B456" t="str">
            <v>SOD-323HE</v>
          </cell>
          <cell r="G456" t="str">
            <v>ConnX Elite</v>
          </cell>
          <cell r="I456">
            <v>2</v>
          </cell>
          <cell r="J456" t="str">
            <v>CU</v>
          </cell>
        </row>
        <row r="457">
          <cell r="B457" t="str">
            <v>SOD-323HE</v>
          </cell>
          <cell r="G457" t="str">
            <v>ConnX Elite</v>
          </cell>
          <cell r="I457">
            <v>1</v>
          </cell>
          <cell r="J457" t="str">
            <v>CU</v>
          </cell>
        </row>
        <row r="458">
          <cell r="B458" t="str">
            <v>SOD-323HE</v>
          </cell>
          <cell r="G458" t="str">
            <v>ConnX Elite</v>
          </cell>
          <cell r="I458">
            <v>2</v>
          </cell>
          <cell r="J458" t="str">
            <v>CU</v>
          </cell>
        </row>
        <row r="459">
          <cell r="B459" t="str">
            <v>SOT-223</v>
          </cell>
          <cell r="G459" t="str">
            <v>ConnX Elite</v>
          </cell>
          <cell r="I459">
            <v>11</v>
          </cell>
          <cell r="J459" t="str">
            <v>CU</v>
          </cell>
        </row>
        <row r="460">
          <cell r="B460" t="str">
            <v>SOT-223</v>
          </cell>
          <cell r="G460" t="str">
            <v>ConnX Elite</v>
          </cell>
          <cell r="I460">
            <v>2</v>
          </cell>
          <cell r="J460" t="str">
            <v>CU</v>
          </cell>
        </row>
        <row r="461">
          <cell r="B461" t="str">
            <v>TDI</v>
          </cell>
          <cell r="G461" t="str">
            <v>Eagle60</v>
          </cell>
          <cell r="I461">
            <v>12</v>
          </cell>
          <cell r="J461" t="str">
            <v>CU</v>
          </cell>
        </row>
        <row r="462">
          <cell r="B462" t="str">
            <v>TDI</v>
          </cell>
          <cell r="G462" t="str">
            <v>Eagle60</v>
          </cell>
          <cell r="I462">
            <v>4</v>
          </cell>
          <cell r="J462" t="str">
            <v>CU</v>
          </cell>
        </row>
        <row r="463">
          <cell r="B463" t="str">
            <v>TDI</v>
          </cell>
          <cell r="G463" t="str">
            <v>Eagle60</v>
          </cell>
          <cell r="I463">
            <v>8</v>
          </cell>
          <cell r="J463" t="str">
            <v>CU</v>
          </cell>
        </row>
        <row r="464">
          <cell r="B464" t="str">
            <v>TDI</v>
          </cell>
          <cell r="G464" t="str">
            <v>iHawk</v>
          </cell>
          <cell r="I464">
            <v>12</v>
          </cell>
          <cell r="J464" t="str">
            <v>CU</v>
          </cell>
        </row>
        <row r="465">
          <cell r="B465" t="str">
            <v>TDI</v>
          </cell>
          <cell r="G465" t="str">
            <v>iHawk</v>
          </cell>
          <cell r="I465">
            <v>4</v>
          </cell>
          <cell r="J465" t="str">
            <v>CU</v>
          </cell>
        </row>
        <row r="466">
          <cell r="B466" t="str">
            <v>TDI</v>
          </cell>
          <cell r="G466" t="str">
            <v>iHawk</v>
          </cell>
          <cell r="I466">
            <v>8</v>
          </cell>
          <cell r="J466" t="str">
            <v>CU</v>
          </cell>
        </row>
        <row r="467">
          <cell r="B467" t="str">
            <v>TDI</v>
          </cell>
          <cell r="G467" t="str">
            <v xml:space="preserve">iHawk Xtreme </v>
          </cell>
          <cell r="I467">
            <v>12</v>
          </cell>
          <cell r="J467" t="str">
            <v>CU</v>
          </cell>
        </row>
        <row r="468">
          <cell r="B468" t="str">
            <v>TDI</v>
          </cell>
          <cell r="G468" t="str">
            <v xml:space="preserve">iHawk Xtreme </v>
          </cell>
          <cell r="I468">
            <v>4</v>
          </cell>
          <cell r="J468" t="str">
            <v>CU</v>
          </cell>
        </row>
        <row r="469">
          <cell r="B469" t="str">
            <v>TDI</v>
          </cell>
          <cell r="G469" t="str">
            <v xml:space="preserve">iHawk Xtreme </v>
          </cell>
          <cell r="I469">
            <v>8</v>
          </cell>
          <cell r="J469" t="str">
            <v>CU</v>
          </cell>
        </row>
        <row r="470">
          <cell r="B470" t="str">
            <v>TDI</v>
          </cell>
          <cell r="G470" t="str">
            <v>Eagle60</v>
          </cell>
          <cell r="I470">
            <v>12</v>
          </cell>
          <cell r="J470" t="str">
            <v>CU</v>
          </cell>
        </row>
        <row r="471">
          <cell r="B471" t="str">
            <v>TDI</v>
          </cell>
          <cell r="G471" t="str">
            <v>Eagle60</v>
          </cell>
          <cell r="I471">
            <v>4</v>
          </cell>
          <cell r="J471" t="str">
            <v>CU</v>
          </cell>
        </row>
        <row r="472">
          <cell r="B472" t="str">
            <v>TDI</v>
          </cell>
          <cell r="G472" t="str">
            <v>Eagle60</v>
          </cell>
          <cell r="I472">
            <v>8</v>
          </cell>
          <cell r="J472" t="str">
            <v>CU</v>
          </cell>
        </row>
        <row r="473">
          <cell r="B473" t="str">
            <v>TDI</v>
          </cell>
          <cell r="G473" t="str">
            <v>iHawk</v>
          </cell>
          <cell r="I473">
            <v>12</v>
          </cell>
          <cell r="J473" t="str">
            <v>CU</v>
          </cell>
        </row>
        <row r="474">
          <cell r="B474" t="str">
            <v>TDI</v>
          </cell>
          <cell r="G474" t="str">
            <v>iHawk</v>
          </cell>
          <cell r="I474">
            <v>4</v>
          </cell>
          <cell r="J474" t="str">
            <v>CU</v>
          </cell>
        </row>
        <row r="475">
          <cell r="B475" t="str">
            <v>TDI</v>
          </cell>
          <cell r="G475" t="str">
            <v>iHawk</v>
          </cell>
          <cell r="I475">
            <v>8</v>
          </cell>
          <cell r="J475" t="str">
            <v>CU</v>
          </cell>
        </row>
        <row r="476">
          <cell r="B476" t="str">
            <v>TDI</v>
          </cell>
          <cell r="G476" t="str">
            <v>iHawk Xtreme GoCu</v>
          </cell>
          <cell r="I476">
            <v>12</v>
          </cell>
          <cell r="J476" t="str">
            <v>CU</v>
          </cell>
        </row>
        <row r="477">
          <cell r="B477" t="str">
            <v>TDI</v>
          </cell>
          <cell r="G477" t="str">
            <v xml:space="preserve">iHawk Xtreme </v>
          </cell>
          <cell r="I477">
            <v>12</v>
          </cell>
          <cell r="J477" t="str">
            <v>CU</v>
          </cell>
        </row>
        <row r="478">
          <cell r="B478" t="str">
            <v>TDI</v>
          </cell>
          <cell r="G478" t="str">
            <v xml:space="preserve">iHawk Xtreme </v>
          </cell>
          <cell r="I478">
            <v>4</v>
          </cell>
          <cell r="J478" t="str">
            <v>CU</v>
          </cell>
        </row>
        <row r="479">
          <cell r="B479" t="str">
            <v>TDI</v>
          </cell>
          <cell r="G479" t="str">
            <v xml:space="preserve">iHawk Xtreme </v>
          </cell>
          <cell r="I479">
            <v>8</v>
          </cell>
          <cell r="J479" t="str">
            <v>CU</v>
          </cell>
        </row>
        <row r="484">
          <cell r="B484" t="str">
            <v>DFN 2L</v>
          </cell>
          <cell r="G484" t="str">
            <v>iHawk</v>
          </cell>
          <cell r="I484">
            <v>1</v>
          </cell>
          <cell r="J484" t="str">
            <v>AG</v>
          </cell>
        </row>
        <row r="485">
          <cell r="B485" t="str">
            <v>DFN 2L</v>
          </cell>
          <cell r="G485" t="str">
            <v>iHawk</v>
          </cell>
          <cell r="I485">
            <v>2</v>
          </cell>
          <cell r="J485" t="str">
            <v>AG</v>
          </cell>
        </row>
        <row r="486">
          <cell r="B486" t="str">
            <v>DFN 2L</v>
          </cell>
          <cell r="G486" t="str">
            <v>iHawk</v>
          </cell>
          <cell r="I486">
            <v>2</v>
          </cell>
          <cell r="J486" t="str">
            <v>AU</v>
          </cell>
        </row>
        <row r="487">
          <cell r="B487" t="str">
            <v>DFN 2L</v>
          </cell>
          <cell r="G487" t="str">
            <v>iHawk</v>
          </cell>
          <cell r="I487" t="str">
            <v>BSOB</v>
          </cell>
          <cell r="J487" t="str">
            <v>AU</v>
          </cell>
        </row>
        <row r="488">
          <cell r="B488" t="str">
            <v>DFN 2L</v>
          </cell>
          <cell r="G488" t="str">
            <v>ConnX Elite</v>
          </cell>
          <cell r="I488">
            <v>1</v>
          </cell>
          <cell r="J488" t="str">
            <v>AU</v>
          </cell>
        </row>
        <row r="489">
          <cell r="B489" t="str">
            <v>DFN 2L</v>
          </cell>
          <cell r="G489" t="str">
            <v>ConnX Elite</v>
          </cell>
          <cell r="I489">
            <v>1</v>
          </cell>
          <cell r="J489" t="str">
            <v>AU</v>
          </cell>
        </row>
        <row r="490">
          <cell r="B490" t="str">
            <v>DFN 2L</v>
          </cell>
          <cell r="G490" t="str">
            <v>ConnX Elite</v>
          </cell>
          <cell r="I490">
            <v>2</v>
          </cell>
          <cell r="J490" t="str">
            <v>AU</v>
          </cell>
        </row>
        <row r="491">
          <cell r="B491" t="str">
            <v>DFN 2L</v>
          </cell>
          <cell r="G491" t="str">
            <v>iHawk</v>
          </cell>
          <cell r="I491">
            <v>1</v>
          </cell>
          <cell r="J491" t="str">
            <v>AG</v>
          </cell>
        </row>
        <row r="492">
          <cell r="B492" t="str">
            <v>DFN 2L</v>
          </cell>
          <cell r="G492" t="str">
            <v>iHawk</v>
          </cell>
          <cell r="I492">
            <v>2</v>
          </cell>
          <cell r="J492" t="str">
            <v>AG</v>
          </cell>
        </row>
        <row r="493">
          <cell r="B493" t="str">
            <v>DFN 2L</v>
          </cell>
          <cell r="G493" t="str">
            <v>iHawk</v>
          </cell>
          <cell r="I493">
            <v>2</v>
          </cell>
          <cell r="J493" t="str">
            <v>AU</v>
          </cell>
        </row>
        <row r="494">
          <cell r="B494" t="str">
            <v>DFN 2L</v>
          </cell>
          <cell r="G494" t="str">
            <v>iHawk</v>
          </cell>
          <cell r="I494" t="str">
            <v>BSOB</v>
          </cell>
          <cell r="J494" t="str">
            <v>AU</v>
          </cell>
        </row>
        <row r="495">
          <cell r="B495" t="str">
            <v>DFN 2L</v>
          </cell>
          <cell r="G495" t="str">
            <v>ConnX Elite</v>
          </cell>
          <cell r="I495">
            <v>1</v>
          </cell>
          <cell r="J495" t="str">
            <v>AU</v>
          </cell>
        </row>
        <row r="496">
          <cell r="B496" t="str">
            <v>DFN 2L</v>
          </cell>
          <cell r="G496" t="str">
            <v>ConnX Elite</v>
          </cell>
          <cell r="I496">
            <v>2</v>
          </cell>
          <cell r="J496" t="str">
            <v>AU</v>
          </cell>
        </row>
        <row r="497">
          <cell r="B497" t="str">
            <v>DFN 3L</v>
          </cell>
          <cell r="G497" t="str">
            <v>ConnX Elite</v>
          </cell>
          <cell r="I497">
            <v>2</v>
          </cell>
          <cell r="J497" t="str">
            <v>AU</v>
          </cell>
        </row>
        <row r="498">
          <cell r="B498" t="str">
            <v>DFN 3L</v>
          </cell>
          <cell r="G498" t="str">
            <v>ConnX Elite</v>
          </cell>
          <cell r="I498" t="str">
            <v>BSOB</v>
          </cell>
          <cell r="J498" t="str">
            <v>AU</v>
          </cell>
        </row>
        <row r="499">
          <cell r="B499" t="str">
            <v>DFN 3L</v>
          </cell>
          <cell r="G499" t="str">
            <v>ConnX Elite</v>
          </cell>
          <cell r="I499">
            <v>2</v>
          </cell>
          <cell r="J499" t="str">
            <v>AU</v>
          </cell>
        </row>
        <row r="500">
          <cell r="B500" t="str">
            <v>DFN 3L</v>
          </cell>
          <cell r="G500" t="str">
            <v>ConnX Elite</v>
          </cell>
          <cell r="I500" t="str">
            <v>BSOB</v>
          </cell>
          <cell r="J500" t="str">
            <v>AU</v>
          </cell>
        </row>
        <row r="501">
          <cell r="B501" t="str">
            <v>DFN0603</v>
          </cell>
          <cell r="G501" t="str">
            <v>iHawk</v>
          </cell>
          <cell r="I501" t="str">
            <v>BSOB</v>
          </cell>
          <cell r="J501" t="str">
            <v>AU</v>
          </cell>
        </row>
        <row r="502">
          <cell r="B502" t="str">
            <v>DFN2510-10L</v>
          </cell>
          <cell r="G502" t="str">
            <v>iHawk</v>
          </cell>
          <cell r="I502">
            <v>2</v>
          </cell>
          <cell r="J502" t="str">
            <v>AU</v>
          </cell>
        </row>
        <row r="503">
          <cell r="B503" t="str">
            <v>DFN2510-10L</v>
          </cell>
          <cell r="G503" t="str">
            <v>iHawk</v>
          </cell>
          <cell r="I503">
            <v>4</v>
          </cell>
          <cell r="J503" t="str">
            <v>AU</v>
          </cell>
        </row>
        <row r="504">
          <cell r="B504" t="str">
            <v>DFN2510-10L</v>
          </cell>
          <cell r="G504" t="str">
            <v>iHawk</v>
          </cell>
          <cell r="I504" t="str">
            <v>BSOB</v>
          </cell>
          <cell r="J504" t="str">
            <v>AU</v>
          </cell>
        </row>
        <row r="505">
          <cell r="B505" t="str">
            <v>DFN2510-10L</v>
          </cell>
          <cell r="G505" t="str">
            <v>ConnX Elite</v>
          </cell>
          <cell r="I505" t="str">
            <v>BSOB</v>
          </cell>
          <cell r="J505" t="str">
            <v>AU</v>
          </cell>
        </row>
        <row r="506">
          <cell r="B506" t="str">
            <v>DFN2510-10L</v>
          </cell>
          <cell r="G506" t="str">
            <v>ConnX Elite</v>
          </cell>
          <cell r="I506">
            <v>4</v>
          </cell>
          <cell r="J506" t="str">
            <v>AU</v>
          </cell>
        </row>
        <row r="507">
          <cell r="B507" t="str">
            <v>DFN0603</v>
          </cell>
          <cell r="G507" t="str">
            <v>iHawk</v>
          </cell>
          <cell r="I507" t="str">
            <v>BSOB</v>
          </cell>
          <cell r="J507" t="str">
            <v>AU</v>
          </cell>
        </row>
        <row r="508">
          <cell r="B508" t="str">
            <v>DFN2510-10L</v>
          </cell>
          <cell r="G508" t="str">
            <v>iHawk</v>
          </cell>
          <cell r="I508">
            <v>2</v>
          </cell>
          <cell r="J508" t="str">
            <v>AU</v>
          </cell>
        </row>
        <row r="509">
          <cell r="B509" t="str">
            <v>DFN2510-10L</v>
          </cell>
          <cell r="G509" t="str">
            <v>iHawk</v>
          </cell>
          <cell r="I509">
            <v>4</v>
          </cell>
          <cell r="J509" t="str">
            <v>AU</v>
          </cell>
        </row>
        <row r="510">
          <cell r="B510" t="str">
            <v>DFN2510-10L</v>
          </cell>
          <cell r="G510" t="str">
            <v>iHawk</v>
          </cell>
          <cell r="I510" t="str">
            <v>BSOB</v>
          </cell>
          <cell r="J510" t="str">
            <v>AU</v>
          </cell>
        </row>
        <row r="511">
          <cell r="B511" t="str">
            <v>DFN2510-10L</v>
          </cell>
          <cell r="G511" t="str">
            <v>ConnX Elite</v>
          </cell>
          <cell r="I511" t="str">
            <v>BSOB</v>
          </cell>
          <cell r="J511" t="str">
            <v>AU</v>
          </cell>
        </row>
        <row r="512">
          <cell r="B512" t="str">
            <v>DFN2510-10L</v>
          </cell>
          <cell r="G512" t="str">
            <v>ConnX Elite</v>
          </cell>
          <cell r="I512">
            <v>4</v>
          </cell>
          <cell r="J512" t="str">
            <v>AU</v>
          </cell>
        </row>
        <row r="513">
          <cell r="B513" t="str">
            <v>SOT-323</v>
          </cell>
          <cell r="G513" t="str">
            <v>ConnX Elite</v>
          </cell>
          <cell r="I513">
            <v>2</v>
          </cell>
          <cell r="J513" t="str">
            <v>CU</v>
          </cell>
        </row>
        <row r="514">
          <cell r="B514" t="str">
            <v>SOT-323</v>
          </cell>
          <cell r="G514" t="str">
            <v>ConnX Elite</v>
          </cell>
          <cell r="I514">
            <v>4</v>
          </cell>
          <cell r="J514" t="str">
            <v>CU</v>
          </cell>
        </row>
        <row r="515">
          <cell r="B515" t="str">
            <v>SOT-23</v>
          </cell>
          <cell r="G515" t="str">
            <v>Eagle60</v>
          </cell>
          <cell r="I515">
            <v>1</v>
          </cell>
          <cell r="J515" t="str">
            <v>CU</v>
          </cell>
        </row>
        <row r="516">
          <cell r="B516" t="str">
            <v>SOT-23</v>
          </cell>
          <cell r="G516" t="str">
            <v>Eagle60</v>
          </cell>
          <cell r="I516">
            <v>2</v>
          </cell>
          <cell r="J516" t="str">
            <v>AG</v>
          </cell>
        </row>
        <row r="517">
          <cell r="B517" t="str">
            <v>SOT-23</v>
          </cell>
          <cell r="G517" t="str">
            <v>Eagle60</v>
          </cell>
          <cell r="I517">
            <v>2</v>
          </cell>
          <cell r="J517" t="str">
            <v>AU</v>
          </cell>
        </row>
        <row r="518">
          <cell r="B518" t="str">
            <v>SOT-23</v>
          </cell>
          <cell r="G518" t="str">
            <v>Eagle60</v>
          </cell>
          <cell r="I518">
            <v>2</v>
          </cell>
          <cell r="J518" t="str">
            <v>CU</v>
          </cell>
        </row>
        <row r="519">
          <cell r="B519" t="str">
            <v>SOT-23</v>
          </cell>
          <cell r="G519" t="str">
            <v>Eagle60</v>
          </cell>
          <cell r="I519" t="str">
            <v>BSOB</v>
          </cell>
          <cell r="J519" t="str">
            <v>AU</v>
          </cell>
        </row>
        <row r="520">
          <cell r="B520" t="str">
            <v>SOT-23</v>
          </cell>
          <cell r="G520" t="str">
            <v>iHawk</v>
          </cell>
          <cell r="I520">
            <v>1</v>
          </cell>
          <cell r="J520" t="str">
            <v>AU</v>
          </cell>
        </row>
        <row r="521">
          <cell r="B521" t="str">
            <v>SOT-23</v>
          </cell>
          <cell r="G521" t="str">
            <v>iHawk</v>
          </cell>
          <cell r="I521">
            <v>2</v>
          </cell>
          <cell r="J521" t="str">
            <v>AU</v>
          </cell>
        </row>
        <row r="522">
          <cell r="B522" t="str">
            <v>SOT-23</v>
          </cell>
          <cell r="G522" t="str">
            <v>iHawk</v>
          </cell>
          <cell r="I522">
            <v>2</v>
          </cell>
          <cell r="J522" t="str">
            <v>CU</v>
          </cell>
        </row>
        <row r="523">
          <cell r="B523" t="str">
            <v>SOT-23</v>
          </cell>
          <cell r="G523" t="str">
            <v>iHawk</v>
          </cell>
          <cell r="I523" t="str">
            <v>BSOB</v>
          </cell>
          <cell r="J523" t="str">
            <v>AU</v>
          </cell>
        </row>
        <row r="524">
          <cell r="B524" t="str">
            <v>SOT-23</v>
          </cell>
          <cell r="G524" t="str">
            <v xml:space="preserve">iHawk Xtreme </v>
          </cell>
          <cell r="I524">
            <v>1</v>
          </cell>
          <cell r="J524" t="str">
            <v>CU</v>
          </cell>
        </row>
        <row r="525">
          <cell r="B525" t="str">
            <v>SOT-23</v>
          </cell>
          <cell r="G525" t="str">
            <v xml:space="preserve">iHawk Xtreme </v>
          </cell>
          <cell r="I525">
            <v>2</v>
          </cell>
          <cell r="J525" t="str">
            <v>AG</v>
          </cell>
        </row>
        <row r="526">
          <cell r="B526" t="str">
            <v>SOT-23</v>
          </cell>
          <cell r="G526" t="str">
            <v xml:space="preserve">iHawk Xtreme </v>
          </cell>
          <cell r="I526">
            <v>2</v>
          </cell>
          <cell r="J526" t="str">
            <v>AU</v>
          </cell>
        </row>
        <row r="527">
          <cell r="B527" t="str">
            <v>SOT-23</v>
          </cell>
          <cell r="G527" t="str">
            <v xml:space="preserve">iHawk Xtreme </v>
          </cell>
          <cell r="I527">
            <v>2</v>
          </cell>
          <cell r="J527" t="str">
            <v>CU</v>
          </cell>
        </row>
        <row r="528">
          <cell r="B528" t="str">
            <v>SOT-23</v>
          </cell>
          <cell r="G528" t="str">
            <v xml:space="preserve">iHawk Xtreme </v>
          </cell>
          <cell r="I528">
            <v>5</v>
          </cell>
          <cell r="J528" t="str">
            <v>CU</v>
          </cell>
        </row>
        <row r="529">
          <cell r="B529" t="str">
            <v>SOT-23</v>
          </cell>
          <cell r="G529" t="str">
            <v>iHawk Xtreme GoCu</v>
          </cell>
          <cell r="I529">
            <v>1</v>
          </cell>
          <cell r="J529" t="str">
            <v>CU</v>
          </cell>
        </row>
        <row r="530">
          <cell r="B530" t="str">
            <v>SOT-23</v>
          </cell>
          <cell r="G530" t="str">
            <v>iHawk Xtreme GoCu</v>
          </cell>
          <cell r="I530">
            <v>2</v>
          </cell>
          <cell r="J530" t="str">
            <v>CU</v>
          </cell>
        </row>
        <row r="531">
          <cell r="B531" t="str">
            <v>SOT-23</v>
          </cell>
          <cell r="G531" t="str">
            <v>Eagle AERO GoCu</v>
          </cell>
          <cell r="I531">
            <v>2</v>
          </cell>
          <cell r="J531" t="str">
            <v>CU</v>
          </cell>
        </row>
        <row r="532">
          <cell r="B532" t="str">
            <v>SOT-23</v>
          </cell>
          <cell r="G532" t="str">
            <v>TwinEagle</v>
          </cell>
          <cell r="I532">
            <v>2</v>
          </cell>
          <cell r="J532" t="str">
            <v>AU</v>
          </cell>
        </row>
        <row r="533">
          <cell r="B533" t="str">
            <v>SOT-23</v>
          </cell>
          <cell r="G533" t="str">
            <v>TwinEagle</v>
          </cell>
          <cell r="I533">
            <v>2</v>
          </cell>
          <cell r="J533" t="str">
            <v>CU</v>
          </cell>
        </row>
        <row r="534">
          <cell r="B534" t="str">
            <v>SOT-23</v>
          </cell>
          <cell r="G534" t="str">
            <v>TwinEagle</v>
          </cell>
          <cell r="I534" t="str">
            <v>BSOB</v>
          </cell>
          <cell r="J534" t="str">
            <v>AU</v>
          </cell>
        </row>
        <row r="535">
          <cell r="B535" t="str">
            <v>SOT-23 Cu</v>
          </cell>
          <cell r="G535" t="str">
            <v>Eagle60</v>
          </cell>
          <cell r="I535">
            <v>4</v>
          </cell>
          <cell r="J535" t="str">
            <v>CU</v>
          </cell>
        </row>
        <row r="536">
          <cell r="B536" t="str">
            <v>SOT-23 Cu</v>
          </cell>
          <cell r="G536" t="str">
            <v>Eagle60</v>
          </cell>
          <cell r="I536">
            <v>5</v>
          </cell>
          <cell r="J536" t="str">
            <v>CU</v>
          </cell>
        </row>
        <row r="537">
          <cell r="B537" t="str">
            <v>SOT-23 Cu</v>
          </cell>
          <cell r="G537" t="str">
            <v>iHawk</v>
          </cell>
          <cell r="I537">
            <v>2</v>
          </cell>
          <cell r="J537" t="str">
            <v>AG</v>
          </cell>
        </row>
        <row r="538">
          <cell r="B538" t="str">
            <v>SOT-23 Cu</v>
          </cell>
          <cell r="G538" t="str">
            <v>iHawk</v>
          </cell>
          <cell r="I538">
            <v>2</v>
          </cell>
          <cell r="J538" t="str">
            <v>AU</v>
          </cell>
        </row>
        <row r="539">
          <cell r="B539" t="str">
            <v>SOT-23 Cu</v>
          </cell>
          <cell r="G539" t="str">
            <v>iHawk</v>
          </cell>
          <cell r="I539">
            <v>2</v>
          </cell>
          <cell r="J539" t="str">
            <v>CU</v>
          </cell>
        </row>
        <row r="540">
          <cell r="B540" t="str">
            <v>SOT-23 Cu</v>
          </cell>
          <cell r="G540" t="str">
            <v>iHawk</v>
          </cell>
          <cell r="I540">
            <v>4</v>
          </cell>
          <cell r="J540" t="str">
            <v>CU</v>
          </cell>
        </row>
        <row r="541">
          <cell r="B541" t="str">
            <v>SOT-23 Cu</v>
          </cell>
          <cell r="G541" t="str">
            <v>iHawk</v>
          </cell>
          <cell r="I541">
            <v>5</v>
          </cell>
          <cell r="J541" t="str">
            <v>CU</v>
          </cell>
        </row>
        <row r="542">
          <cell r="B542" t="str">
            <v>SOT-23 Cu</v>
          </cell>
          <cell r="G542" t="str">
            <v xml:space="preserve">iHawk Xtreme </v>
          </cell>
          <cell r="I542">
            <v>1</v>
          </cell>
          <cell r="J542" t="str">
            <v>CU</v>
          </cell>
        </row>
        <row r="543">
          <cell r="B543" t="str">
            <v>SOT-23 Cu</v>
          </cell>
          <cell r="G543" t="str">
            <v xml:space="preserve">iHawk Xtreme </v>
          </cell>
          <cell r="I543">
            <v>2</v>
          </cell>
          <cell r="J543" t="str">
            <v>AG</v>
          </cell>
        </row>
        <row r="544">
          <cell r="B544" t="str">
            <v>SOT-23 Cu</v>
          </cell>
          <cell r="G544" t="str">
            <v xml:space="preserve">iHawk Xtreme </v>
          </cell>
          <cell r="I544">
            <v>2</v>
          </cell>
          <cell r="J544" t="str">
            <v>AU</v>
          </cell>
        </row>
        <row r="545">
          <cell r="B545" t="str">
            <v>SOT-23 Cu</v>
          </cell>
          <cell r="G545" t="str">
            <v xml:space="preserve">iHawk Xtreme </v>
          </cell>
          <cell r="I545">
            <v>2</v>
          </cell>
          <cell r="J545" t="str">
            <v>CU</v>
          </cell>
        </row>
        <row r="546">
          <cell r="B546" t="str">
            <v>SOT-23 Cu</v>
          </cell>
          <cell r="G546" t="str">
            <v xml:space="preserve">iHawk Xtreme </v>
          </cell>
          <cell r="I546">
            <v>4</v>
          </cell>
          <cell r="J546" t="str">
            <v>CU</v>
          </cell>
        </row>
        <row r="547">
          <cell r="B547" t="str">
            <v>SOT-23 Cu</v>
          </cell>
          <cell r="G547" t="str">
            <v xml:space="preserve">iHawk Xtreme </v>
          </cell>
          <cell r="I547">
            <v>5</v>
          </cell>
          <cell r="J547" t="str">
            <v>CU</v>
          </cell>
        </row>
        <row r="548">
          <cell r="B548" t="str">
            <v>SOT-23 Cu</v>
          </cell>
          <cell r="G548" t="str">
            <v>ConnX Elite</v>
          </cell>
          <cell r="I548">
            <v>2</v>
          </cell>
          <cell r="J548" t="str">
            <v>CU</v>
          </cell>
        </row>
        <row r="549">
          <cell r="B549" t="str">
            <v>SOT-23 Cu</v>
          </cell>
          <cell r="G549" t="str">
            <v>ConnX Elite</v>
          </cell>
          <cell r="I549">
            <v>4</v>
          </cell>
          <cell r="J549" t="str">
            <v>CU</v>
          </cell>
        </row>
        <row r="550">
          <cell r="B550" t="str">
            <v>SOT-23 Cu</v>
          </cell>
          <cell r="G550" t="str">
            <v>Eagle AERO GoCu</v>
          </cell>
          <cell r="I550">
            <v>2</v>
          </cell>
          <cell r="J550" t="str">
            <v>CU</v>
          </cell>
        </row>
        <row r="551">
          <cell r="B551" t="str">
            <v>SOT-23 Cu</v>
          </cell>
          <cell r="G551" t="str">
            <v>Eagle AERO GoCu</v>
          </cell>
          <cell r="I551">
            <v>4</v>
          </cell>
          <cell r="J551" t="str">
            <v>CU</v>
          </cell>
        </row>
        <row r="552">
          <cell r="B552" t="str">
            <v>SOT23-6L</v>
          </cell>
          <cell r="G552" t="str">
            <v>iHawk</v>
          </cell>
          <cell r="I552">
            <v>4</v>
          </cell>
          <cell r="J552" t="str">
            <v>CU</v>
          </cell>
        </row>
        <row r="553">
          <cell r="B553" t="str">
            <v>SOT23-6L</v>
          </cell>
          <cell r="G553" t="str">
            <v>iHawk</v>
          </cell>
          <cell r="I553">
            <v>5</v>
          </cell>
          <cell r="J553" t="str">
            <v>CU</v>
          </cell>
        </row>
        <row r="554">
          <cell r="B554" t="str">
            <v>SOT23-6L</v>
          </cell>
          <cell r="G554" t="str">
            <v>iHawk</v>
          </cell>
          <cell r="I554">
            <v>6</v>
          </cell>
          <cell r="J554" t="str">
            <v>CU</v>
          </cell>
        </row>
        <row r="555">
          <cell r="B555" t="str">
            <v>SOT23-6L</v>
          </cell>
          <cell r="G555" t="str">
            <v>iHawk</v>
          </cell>
          <cell r="I555">
            <v>8</v>
          </cell>
          <cell r="J555" t="str">
            <v>AU</v>
          </cell>
        </row>
        <row r="556">
          <cell r="B556" t="str">
            <v>SOT23-6L</v>
          </cell>
          <cell r="G556" t="str">
            <v>iHawk</v>
          </cell>
          <cell r="I556">
            <v>8</v>
          </cell>
          <cell r="J556" t="str">
            <v>CU</v>
          </cell>
        </row>
        <row r="557">
          <cell r="B557" t="str">
            <v>SOT23-6L</v>
          </cell>
          <cell r="G557" t="str">
            <v>iHawk</v>
          </cell>
          <cell r="I557">
            <v>10</v>
          </cell>
          <cell r="J557" t="str">
            <v>AU</v>
          </cell>
        </row>
        <row r="558">
          <cell r="B558" t="str">
            <v>SOT23-6L</v>
          </cell>
          <cell r="G558" t="str">
            <v>ConnX Elite</v>
          </cell>
          <cell r="I558">
            <v>4</v>
          </cell>
          <cell r="J558" t="str">
            <v>CU</v>
          </cell>
        </row>
        <row r="559">
          <cell r="B559" t="str">
            <v>SOT23-6L</v>
          </cell>
          <cell r="G559" t="str">
            <v>ConnX Elite</v>
          </cell>
          <cell r="I559">
            <v>5</v>
          </cell>
          <cell r="J559" t="str">
            <v>CU</v>
          </cell>
        </row>
        <row r="560">
          <cell r="B560" t="str">
            <v>SOT23-6L</v>
          </cell>
          <cell r="G560" t="str">
            <v>ConnX Elite</v>
          </cell>
          <cell r="I560">
            <v>6</v>
          </cell>
          <cell r="J560" t="str">
            <v>CU</v>
          </cell>
        </row>
        <row r="561">
          <cell r="B561" t="str">
            <v>SOT23-6L</v>
          </cell>
          <cell r="G561" t="str">
            <v>ConnX Elite</v>
          </cell>
          <cell r="I561">
            <v>7</v>
          </cell>
          <cell r="J561" t="str">
            <v>CU</v>
          </cell>
        </row>
        <row r="562">
          <cell r="B562" t="str">
            <v>SOT23-6L</v>
          </cell>
          <cell r="G562" t="str">
            <v>ConnX Elite</v>
          </cell>
          <cell r="I562">
            <v>8</v>
          </cell>
          <cell r="J562" t="str">
            <v>AG</v>
          </cell>
        </row>
        <row r="563">
          <cell r="B563" t="str">
            <v>SOT23-6L</v>
          </cell>
          <cell r="G563" t="str">
            <v>ConnX Elite</v>
          </cell>
          <cell r="I563">
            <v>10</v>
          </cell>
          <cell r="J563" t="str">
            <v>AU</v>
          </cell>
        </row>
        <row r="564">
          <cell r="B564" t="str">
            <v>SOT23-6L</v>
          </cell>
          <cell r="G564" t="str">
            <v>iHawk</v>
          </cell>
          <cell r="I564">
            <v>4</v>
          </cell>
          <cell r="J564" t="str">
            <v>CU</v>
          </cell>
        </row>
        <row r="565">
          <cell r="B565" t="str">
            <v>SOT23-6L</v>
          </cell>
          <cell r="G565" t="str">
            <v>iHawk</v>
          </cell>
          <cell r="I565">
            <v>5</v>
          </cell>
          <cell r="J565" t="str">
            <v>CU</v>
          </cell>
        </row>
        <row r="566">
          <cell r="B566" t="str">
            <v>SOT23-6L</v>
          </cell>
          <cell r="G566" t="str">
            <v>iHawk</v>
          </cell>
          <cell r="I566">
            <v>6</v>
          </cell>
          <cell r="J566" t="str">
            <v>CU</v>
          </cell>
        </row>
        <row r="567">
          <cell r="B567" t="str">
            <v>SOT23-6L</v>
          </cell>
          <cell r="G567" t="str">
            <v>iHawk</v>
          </cell>
          <cell r="I567">
            <v>8</v>
          </cell>
          <cell r="J567" t="str">
            <v>AU</v>
          </cell>
        </row>
        <row r="568">
          <cell r="B568" t="str">
            <v>SOT23-6L</v>
          </cell>
          <cell r="G568" t="str">
            <v>iHawk</v>
          </cell>
          <cell r="I568">
            <v>8</v>
          </cell>
          <cell r="J568" t="str">
            <v>CU</v>
          </cell>
        </row>
        <row r="569">
          <cell r="B569" t="str">
            <v>SOT23-6L</v>
          </cell>
          <cell r="G569" t="str">
            <v>iHawk</v>
          </cell>
          <cell r="I569">
            <v>10</v>
          </cell>
          <cell r="J569" t="str">
            <v>AU</v>
          </cell>
        </row>
        <row r="570">
          <cell r="B570" t="str">
            <v>SOT23-6L</v>
          </cell>
          <cell r="G570" t="str">
            <v>ConnX Elite</v>
          </cell>
          <cell r="I570">
            <v>4</v>
          </cell>
          <cell r="J570" t="str">
            <v>CU</v>
          </cell>
        </row>
        <row r="571">
          <cell r="B571" t="str">
            <v>SOT23-6L</v>
          </cell>
          <cell r="G571" t="str">
            <v>ConnX Elite</v>
          </cell>
          <cell r="I571">
            <v>5</v>
          </cell>
          <cell r="J571" t="str">
            <v>CU</v>
          </cell>
        </row>
        <row r="572">
          <cell r="B572" t="str">
            <v>SOT23-6L</v>
          </cell>
          <cell r="G572" t="str">
            <v>ConnX Elite</v>
          </cell>
          <cell r="I572">
            <v>6</v>
          </cell>
          <cell r="J572" t="str">
            <v>CU</v>
          </cell>
        </row>
        <row r="573">
          <cell r="B573" t="str">
            <v>SOT23-6L</v>
          </cell>
          <cell r="G573" t="str">
            <v>ConnX Elite</v>
          </cell>
          <cell r="I573">
            <v>7</v>
          </cell>
          <cell r="J573" t="str">
            <v>CU</v>
          </cell>
        </row>
        <row r="574">
          <cell r="B574" t="str">
            <v>SOT23-6L</v>
          </cell>
          <cell r="G574" t="str">
            <v>ConnX Elite</v>
          </cell>
          <cell r="I574">
            <v>8</v>
          </cell>
          <cell r="J574" t="str">
            <v>AG</v>
          </cell>
        </row>
        <row r="575">
          <cell r="B575" t="str">
            <v>SOT23-6L</v>
          </cell>
          <cell r="G575" t="str">
            <v>ConnX Elite</v>
          </cell>
          <cell r="I575">
            <v>8</v>
          </cell>
          <cell r="J575" t="str">
            <v>AU</v>
          </cell>
        </row>
        <row r="576">
          <cell r="B576" t="str">
            <v>SOT23-6L</v>
          </cell>
          <cell r="G576" t="str">
            <v>ConnX Elite</v>
          </cell>
          <cell r="I576">
            <v>8</v>
          </cell>
          <cell r="J576" t="str">
            <v>CU</v>
          </cell>
        </row>
        <row r="577">
          <cell r="B577" t="str">
            <v>SOT23-6L</v>
          </cell>
          <cell r="G577" t="str">
            <v>ConnX Elite</v>
          </cell>
          <cell r="I577">
            <v>10</v>
          </cell>
          <cell r="J577" t="str">
            <v>AU</v>
          </cell>
        </row>
        <row r="578">
          <cell r="B578" t="str">
            <v>SOT-23 6L-1</v>
          </cell>
          <cell r="G578" t="str">
            <v>ConnX Elite</v>
          </cell>
          <cell r="I578">
            <v>4</v>
          </cell>
          <cell r="J578" t="str">
            <v>CU</v>
          </cell>
        </row>
        <row r="579">
          <cell r="B579" t="str">
            <v>SOT-23 6L-1</v>
          </cell>
          <cell r="G579" t="str">
            <v>iHawk</v>
          </cell>
          <cell r="I579">
            <v>4</v>
          </cell>
          <cell r="J579" t="str">
            <v>CU</v>
          </cell>
        </row>
        <row r="580">
          <cell r="B580" t="str">
            <v>SOT-23 6L-1</v>
          </cell>
          <cell r="G580" t="str">
            <v>iHawk</v>
          </cell>
          <cell r="I580">
            <v>5</v>
          </cell>
          <cell r="J580" t="str">
            <v>CU</v>
          </cell>
        </row>
        <row r="581">
          <cell r="B581" t="str">
            <v>SOT-23 6L-1</v>
          </cell>
          <cell r="G581" t="str">
            <v>iHawk</v>
          </cell>
          <cell r="I581">
            <v>5</v>
          </cell>
          <cell r="J581" t="str">
            <v>CU</v>
          </cell>
        </row>
        <row r="582">
          <cell r="B582" t="str">
            <v>SOT-23 6L-1</v>
          </cell>
          <cell r="G582" t="str">
            <v>iHawk</v>
          </cell>
          <cell r="I582">
            <v>5</v>
          </cell>
          <cell r="J582" t="str">
            <v>CU</v>
          </cell>
        </row>
        <row r="583">
          <cell r="B583" t="str">
            <v>SOT-363</v>
          </cell>
          <cell r="G583" t="str">
            <v>Eagle60</v>
          </cell>
          <cell r="I583">
            <v>4</v>
          </cell>
          <cell r="J583" t="str">
            <v>CU</v>
          </cell>
        </row>
        <row r="584">
          <cell r="B584" t="str">
            <v>SOT-363</v>
          </cell>
          <cell r="G584" t="str">
            <v>iHawk</v>
          </cell>
          <cell r="I584">
            <v>4</v>
          </cell>
          <cell r="J584" t="str">
            <v>AG</v>
          </cell>
        </row>
        <row r="585">
          <cell r="B585" t="str">
            <v>SOT-363</v>
          </cell>
          <cell r="G585" t="str">
            <v>iHawk</v>
          </cell>
          <cell r="I585">
            <v>4</v>
          </cell>
          <cell r="J585" t="str">
            <v>AU</v>
          </cell>
        </row>
        <row r="586">
          <cell r="B586" t="str">
            <v>SOT-363</v>
          </cell>
          <cell r="G586" t="str">
            <v>iHawk</v>
          </cell>
          <cell r="I586">
            <v>4</v>
          </cell>
          <cell r="J586" t="str">
            <v>CU</v>
          </cell>
        </row>
        <row r="587">
          <cell r="B587" t="str">
            <v>SOT-363</v>
          </cell>
          <cell r="G587" t="str">
            <v>iHawk</v>
          </cell>
          <cell r="I587">
            <v>5</v>
          </cell>
          <cell r="J587" t="str">
            <v>CU</v>
          </cell>
        </row>
        <row r="588">
          <cell r="B588" t="str">
            <v>SOT-363</v>
          </cell>
          <cell r="G588" t="str">
            <v>iHawk</v>
          </cell>
          <cell r="I588">
            <v>6</v>
          </cell>
          <cell r="J588" t="str">
            <v>CU</v>
          </cell>
        </row>
        <row r="589">
          <cell r="B589" t="str">
            <v>SOT-363</v>
          </cell>
          <cell r="G589" t="str">
            <v>iHawk</v>
          </cell>
          <cell r="I589">
            <v>7</v>
          </cell>
          <cell r="J589" t="str">
            <v>AU</v>
          </cell>
        </row>
        <row r="590">
          <cell r="B590" t="str">
            <v>SOT-363</v>
          </cell>
          <cell r="G590" t="str">
            <v>iHawk</v>
          </cell>
          <cell r="I590">
            <v>7</v>
          </cell>
          <cell r="J590" t="str">
            <v>CU</v>
          </cell>
        </row>
        <row r="591">
          <cell r="B591" t="str">
            <v>SOT-363</v>
          </cell>
          <cell r="G591" t="str">
            <v>iHawk</v>
          </cell>
          <cell r="I591">
            <v>8</v>
          </cell>
          <cell r="J591" t="str">
            <v>AU</v>
          </cell>
        </row>
        <row r="592">
          <cell r="B592" t="str">
            <v>SOT-363</v>
          </cell>
          <cell r="G592" t="str">
            <v>iHawk</v>
          </cell>
          <cell r="I592">
            <v>10</v>
          </cell>
          <cell r="J592" t="str">
            <v>AU</v>
          </cell>
        </row>
        <row r="593">
          <cell r="B593" t="str">
            <v>SOT-363</v>
          </cell>
          <cell r="G593" t="str">
            <v>iHawk</v>
          </cell>
          <cell r="I593">
            <v>10</v>
          </cell>
          <cell r="J593" t="str">
            <v>CU</v>
          </cell>
        </row>
        <row r="594">
          <cell r="B594" t="str">
            <v>SOT-363</v>
          </cell>
          <cell r="G594" t="str">
            <v xml:space="preserve">iHawk Xtreme </v>
          </cell>
          <cell r="I594">
            <v>2</v>
          </cell>
          <cell r="J594" t="str">
            <v>CU</v>
          </cell>
        </row>
        <row r="595">
          <cell r="B595" t="str">
            <v>SOT-363</v>
          </cell>
          <cell r="G595" t="str">
            <v xml:space="preserve">iHawk Xtreme </v>
          </cell>
          <cell r="I595">
            <v>4</v>
          </cell>
          <cell r="J595" t="str">
            <v>AU</v>
          </cell>
        </row>
        <row r="596">
          <cell r="B596" t="str">
            <v>SOT-363</v>
          </cell>
          <cell r="G596" t="str">
            <v xml:space="preserve">iHawk Xtreme </v>
          </cell>
          <cell r="I596">
            <v>4</v>
          </cell>
          <cell r="J596" t="str">
            <v>CU</v>
          </cell>
        </row>
        <row r="597">
          <cell r="B597" t="str">
            <v>SOT-363</v>
          </cell>
          <cell r="G597" t="str">
            <v xml:space="preserve">iHawk Xtreme </v>
          </cell>
          <cell r="I597">
            <v>10</v>
          </cell>
          <cell r="J597" t="str">
            <v>AU</v>
          </cell>
        </row>
        <row r="598">
          <cell r="B598" t="str">
            <v>SOT-363</v>
          </cell>
          <cell r="G598" t="str">
            <v>iHawk Xtreme GoCu</v>
          </cell>
          <cell r="I598">
            <v>4</v>
          </cell>
          <cell r="J598" t="str">
            <v>CU</v>
          </cell>
        </row>
        <row r="599">
          <cell r="B599" t="str">
            <v>SOT-363</v>
          </cell>
          <cell r="G599" t="str">
            <v>iHawk Xtreme GoCu</v>
          </cell>
          <cell r="I599">
            <v>4</v>
          </cell>
          <cell r="J599" t="str">
            <v>AG</v>
          </cell>
        </row>
        <row r="600">
          <cell r="B600" t="str">
            <v>SOT-363</v>
          </cell>
          <cell r="G600" t="str">
            <v>TwinEagle</v>
          </cell>
          <cell r="I600">
            <v>4</v>
          </cell>
          <cell r="J600" t="str">
            <v>AG</v>
          </cell>
        </row>
        <row r="601">
          <cell r="B601" t="str">
            <v>SOT-363</v>
          </cell>
          <cell r="G601" t="str">
            <v>TwinEagle</v>
          </cell>
          <cell r="I601">
            <v>4</v>
          </cell>
          <cell r="J601" t="str">
            <v>AU</v>
          </cell>
        </row>
        <row r="602">
          <cell r="B602" t="str">
            <v>SOT-363</v>
          </cell>
          <cell r="G602" t="str">
            <v>TwinEagle</v>
          </cell>
          <cell r="I602">
            <v>3</v>
          </cell>
          <cell r="J602" t="str">
            <v>CU</v>
          </cell>
        </row>
        <row r="603">
          <cell r="B603" t="str">
            <v>SOT-363</v>
          </cell>
          <cell r="G603" t="str">
            <v>TwinEagle</v>
          </cell>
          <cell r="I603">
            <v>4</v>
          </cell>
          <cell r="J603" t="str">
            <v>CU</v>
          </cell>
        </row>
        <row r="604">
          <cell r="B604" t="str">
            <v>SOT-363</v>
          </cell>
          <cell r="G604" t="str">
            <v>TwinEagle</v>
          </cell>
          <cell r="I604">
            <v>5</v>
          </cell>
          <cell r="J604" t="str">
            <v>AU</v>
          </cell>
        </row>
        <row r="605">
          <cell r="B605" t="str">
            <v>SOT-363</v>
          </cell>
          <cell r="G605" t="str">
            <v>ConnX Elite</v>
          </cell>
          <cell r="I605">
            <v>4</v>
          </cell>
          <cell r="J605" t="str">
            <v>CU</v>
          </cell>
        </row>
        <row r="606">
          <cell r="B606" t="str">
            <v>SOT-363</v>
          </cell>
          <cell r="G606" t="str">
            <v>ConnX Elite</v>
          </cell>
          <cell r="I606">
            <v>5</v>
          </cell>
          <cell r="J606" t="str">
            <v>CU</v>
          </cell>
        </row>
        <row r="607">
          <cell r="B607" t="str">
            <v>SOT-363</v>
          </cell>
          <cell r="G607" t="str">
            <v>ConnX Elite</v>
          </cell>
          <cell r="I607">
            <v>6</v>
          </cell>
          <cell r="J607" t="str">
            <v>CU</v>
          </cell>
        </row>
        <row r="608">
          <cell r="B608" t="str">
            <v>SOT-363</v>
          </cell>
          <cell r="G608" t="str">
            <v>ConnX Elite</v>
          </cell>
          <cell r="I608">
            <v>7</v>
          </cell>
          <cell r="J608" t="str">
            <v>CU</v>
          </cell>
        </row>
        <row r="609">
          <cell r="B609" t="str">
            <v>SOT-363 CU</v>
          </cell>
          <cell r="G609" t="str">
            <v>ConnX Elite</v>
          </cell>
          <cell r="I609">
            <v>4</v>
          </cell>
          <cell r="J609" t="str">
            <v>CU</v>
          </cell>
        </row>
        <row r="610">
          <cell r="B610" t="str">
            <v>SOT-363 CU</v>
          </cell>
          <cell r="G610" t="str">
            <v>ConnX Elite</v>
          </cell>
          <cell r="I610">
            <v>7</v>
          </cell>
          <cell r="J610" t="str">
            <v>CU</v>
          </cell>
        </row>
        <row r="611">
          <cell r="B611" t="str">
            <v>SOT-523</v>
          </cell>
          <cell r="G611" t="str">
            <v>Eagle60</v>
          </cell>
          <cell r="I611">
            <v>2</v>
          </cell>
          <cell r="J611" t="str">
            <v>AG</v>
          </cell>
        </row>
        <row r="612">
          <cell r="B612" t="str">
            <v>SOT-523</v>
          </cell>
          <cell r="G612" t="str">
            <v>Eagle60</v>
          </cell>
          <cell r="I612">
            <v>2</v>
          </cell>
          <cell r="J612" t="str">
            <v>AU</v>
          </cell>
        </row>
        <row r="613">
          <cell r="B613" t="str">
            <v>SOT-523</v>
          </cell>
          <cell r="G613" t="str">
            <v>Eagle60</v>
          </cell>
          <cell r="I613">
            <v>2</v>
          </cell>
          <cell r="J613" t="str">
            <v>CU</v>
          </cell>
        </row>
        <row r="614">
          <cell r="B614" t="str">
            <v>SOT-523</v>
          </cell>
          <cell r="G614" t="str">
            <v>Eagle60</v>
          </cell>
          <cell r="I614">
            <v>4</v>
          </cell>
          <cell r="J614" t="str">
            <v>CU</v>
          </cell>
        </row>
        <row r="615">
          <cell r="B615" t="str">
            <v>SOT-523</v>
          </cell>
          <cell r="G615" t="str">
            <v>iHawk</v>
          </cell>
          <cell r="I615">
            <v>2</v>
          </cell>
          <cell r="J615" t="str">
            <v>AG</v>
          </cell>
        </row>
        <row r="616">
          <cell r="B616" t="str">
            <v>SOT-523</v>
          </cell>
          <cell r="G616" t="str">
            <v>iHawk</v>
          </cell>
          <cell r="I616">
            <v>2</v>
          </cell>
          <cell r="J616" t="str">
            <v>AU</v>
          </cell>
        </row>
        <row r="617">
          <cell r="B617" t="str">
            <v>SOT-523</v>
          </cell>
          <cell r="G617" t="str">
            <v>iHawk</v>
          </cell>
          <cell r="I617">
            <v>2</v>
          </cell>
          <cell r="J617" t="str">
            <v>CU</v>
          </cell>
        </row>
        <row r="618">
          <cell r="B618" t="str">
            <v>SOT-523</v>
          </cell>
          <cell r="G618" t="str">
            <v xml:space="preserve">iHawk Xtreme </v>
          </cell>
          <cell r="I618">
            <v>2</v>
          </cell>
          <cell r="J618" t="str">
            <v>AG</v>
          </cell>
        </row>
        <row r="619">
          <cell r="B619" t="str">
            <v>SOT-523</v>
          </cell>
          <cell r="G619" t="str">
            <v>TwinEagle</v>
          </cell>
          <cell r="I619">
            <v>1</v>
          </cell>
          <cell r="J619" t="str">
            <v>AG</v>
          </cell>
        </row>
        <row r="620">
          <cell r="B620" t="str">
            <v>SOT-523</v>
          </cell>
          <cell r="G620" t="str">
            <v>TwinEagle</v>
          </cell>
          <cell r="I620">
            <v>2</v>
          </cell>
          <cell r="J620" t="str">
            <v>AG</v>
          </cell>
        </row>
        <row r="621">
          <cell r="B621" t="str">
            <v>SOT-523</v>
          </cell>
          <cell r="G621" t="str">
            <v>TwinEagle</v>
          </cell>
          <cell r="I621">
            <v>2</v>
          </cell>
          <cell r="J621" t="str">
            <v>AU</v>
          </cell>
        </row>
        <row r="622">
          <cell r="B622" t="str">
            <v>SOT-523</v>
          </cell>
          <cell r="G622" t="str">
            <v>ConnX Elite</v>
          </cell>
          <cell r="I622">
            <v>2</v>
          </cell>
          <cell r="J622" t="str">
            <v>AG</v>
          </cell>
        </row>
        <row r="623">
          <cell r="B623" t="str">
            <v>SOT-523</v>
          </cell>
          <cell r="G623" t="str">
            <v>ConnX Elite</v>
          </cell>
          <cell r="I623">
            <v>2</v>
          </cell>
          <cell r="J623" t="str">
            <v>AU</v>
          </cell>
        </row>
        <row r="624">
          <cell r="B624" t="str">
            <v>SOT-563</v>
          </cell>
          <cell r="G624" t="str">
            <v>Eagle AERO GoCu</v>
          </cell>
          <cell r="I624">
            <v>2</v>
          </cell>
          <cell r="J624" t="str">
            <v>CU</v>
          </cell>
        </row>
        <row r="625">
          <cell r="B625" t="str">
            <v>SOT-563</v>
          </cell>
          <cell r="G625" t="str">
            <v>Eagle60</v>
          </cell>
          <cell r="I625">
            <v>4</v>
          </cell>
          <cell r="J625" t="str">
            <v>CU</v>
          </cell>
        </row>
        <row r="626">
          <cell r="B626" t="str">
            <v>SOT-563</v>
          </cell>
          <cell r="G626" t="str">
            <v>Eagle60</v>
          </cell>
          <cell r="I626">
            <v>4</v>
          </cell>
          <cell r="J626" t="str">
            <v>AG</v>
          </cell>
        </row>
        <row r="627">
          <cell r="B627" t="str">
            <v>SOT-563</v>
          </cell>
          <cell r="G627" t="str">
            <v>Eagle60</v>
          </cell>
          <cell r="I627">
            <v>4</v>
          </cell>
          <cell r="J627" t="str">
            <v>AU</v>
          </cell>
        </row>
        <row r="628">
          <cell r="B628" t="str">
            <v>SOT-563</v>
          </cell>
          <cell r="G628" t="str">
            <v>Eagle60</v>
          </cell>
          <cell r="I628">
            <v>5</v>
          </cell>
          <cell r="J628" t="str">
            <v>AU</v>
          </cell>
        </row>
        <row r="629">
          <cell r="B629" t="str">
            <v>SOT-563</v>
          </cell>
          <cell r="G629" t="str">
            <v>Eagle60</v>
          </cell>
          <cell r="I629" t="str">
            <v>2Y</v>
          </cell>
          <cell r="J629" t="str">
            <v>AU</v>
          </cell>
        </row>
        <row r="630">
          <cell r="B630" t="str">
            <v>SOT-563</v>
          </cell>
          <cell r="G630" t="str">
            <v>iHawk</v>
          </cell>
          <cell r="I630">
            <v>4</v>
          </cell>
          <cell r="J630" t="str">
            <v>AG</v>
          </cell>
        </row>
        <row r="631">
          <cell r="B631" t="str">
            <v>SOT-563</v>
          </cell>
          <cell r="G631" t="str">
            <v>iHawk</v>
          </cell>
          <cell r="I631">
            <v>4</v>
          </cell>
          <cell r="J631" t="str">
            <v>AU</v>
          </cell>
        </row>
        <row r="632">
          <cell r="B632" t="str">
            <v>SOT-563</v>
          </cell>
          <cell r="G632" t="str">
            <v>iHawk Xtreme GoCu</v>
          </cell>
          <cell r="I632">
            <v>2</v>
          </cell>
          <cell r="J632" t="str">
            <v>CU</v>
          </cell>
        </row>
        <row r="633">
          <cell r="B633" t="str">
            <v>SOT-563</v>
          </cell>
          <cell r="G633" t="str">
            <v>TwinEagle</v>
          </cell>
          <cell r="I633">
            <v>4</v>
          </cell>
          <cell r="J633" t="str">
            <v>AG</v>
          </cell>
        </row>
        <row r="634">
          <cell r="B634" t="str">
            <v>SOT-563</v>
          </cell>
          <cell r="G634" t="str">
            <v>TwinEagle</v>
          </cell>
          <cell r="I634">
            <v>4</v>
          </cell>
          <cell r="J634" t="str">
            <v>AU</v>
          </cell>
        </row>
        <row r="635">
          <cell r="B635" t="str">
            <v>SOT-563</v>
          </cell>
          <cell r="G635" t="str">
            <v>TwinEagle</v>
          </cell>
          <cell r="I635">
            <v>4</v>
          </cell>
          <cell r="J635" t="str">
            <v>Cu</v>
          </cell>
        </row>
        <row r="636">
          <cell r="B636" t="str">
            <v>SOT-563</v>
          </cell>
          <cell r="G636" t="str">
            <v>ConnX Elite</v>
          </cell>
          <cell r="I636">
            <v>4</v>
          </cell>
          <cell r="J636" t="str">
            <v>AU</v>
          </cell>
        </row>
        <row r="637">
          <cell r="B637" t="str">
            <v>SOT-563</v>
          </cell>
          <cell r="G637" t="str">
            <v>ConnX Elite</v>
          </cell>
          <cell r="I637">
            <v>4</v>
          </cell>
          <cell r="J637" t="str">
            <v>AG</v>
          </cell>
        </row>
        <row r="638">
          <cell r="B638" t="str">
            <v>SOT-223</v>
          </cell>
          <cell r="G638" t="str">
            <v>ConnX Elite</v>
          </cell>
          <cell r="I638">
            <v>2</v>
          </cell>
          <cell r="J638" t="str">
            <v>Cu</v>
          </cell>
        </row>
        <row r="643">
          <cell r="B643" t="str">
            <v>SMBF</v>
          </cell>
          <cell r="G643" t="str">
            <v>Mini Max</v>
          </cell>
        </row>
        <row r="644">
          <cell r="B644" t="str">
            <v>SMBF</v>
          </cell>
          <cell r="G644" t="str">
            <v>Max Series</v>
          </cell>
        </row>
        <row r="645">
          <cell r="B645" t="str">
            <v>SMAF</v>
          </cell>
          <cell r="G645" t="str">
            <v>Max Series</v>
          </cell>
        </row>
        <row r="646">
          <cell r="B646" t="str">
            <v>SOD-123FL OP1</v>
          </cell>
          <cell r="G646" t="str">
            <v>Mini Max</v>
          </cell>
          <cell r="J646" t="str">
            <v>井字10針</v>
          </cell>
        </row>
        <row r="647">
          <cell r="B647" t="str">
            <v>SOD-123FL OP1</v>
          </cell>
          <cell r="G647" t="str">
            <v>Max Series</v>
          </cell>
          <cell r="J647" t="str">
            <v>井字4針</v>
          </cell>
        </row>
        <row r="648">
          <cell r="B648" t="str">
            <v>SOD-123FL OP1</v>
          </cell>
          <cell r="G648" t="str">
            <v>Max Series</v>
          </cell>
          <cell r="J648" t="str">
            <v>井字10針</v>
          </cell>
        </row>
        <row r="649">
          <cell r="B649" t="str">
            <v>SOD-123HE</v>
          </cell>
          <cell r="G649" t="str">
            <v>Max Series</v>
          </cell>
        </row>
        <row r="650">
          <cell r="B650" t="str">
            <v>SOD-123FL</v>
          </cell>
          <cell r="G650" t="str">
            <v>Max Series</v>
          </cell>
          <cell r="J650" t="str">
            <v>井字4針</v>
          </cell>
        </row>
        <row r="651">
          <cell r="B651" t="str">
            <v>SOD-123FL</v>
          </cell>
          <cell r="G651" t="str">
            <v>Max Series</v>
          </cell>
          <cell r="J651" t="str">
            <v>井字10針</v>
          </cell>
        </row>
        <row r="652">
          <cell r="B652" t="str">
            <v>TO-277 / 277B</v>
          </cell>
          <cell r="G652" t="str">
            <v>Max Series</v>
          </cell>
        </row>
        <row r="657">
          <cell r="B657" t="str">
            <v>SOD-123FL</v>
          </cell>
          <cell r="G657" t="str">
            <v>MRV-I-STW</v>
          </cell>
        </row>
        <row r="658">
          <cell r="B658" t="str">
            <v>TO-277 / 277B</v>
          </cell>
          <cell r="G658" t="str">
            <v>MRV-I-STW</v>
          </cell>
        </row>
        <row r="663">
          <cell r="B663" t="str">
            <v>SMAF</v>
          </cell>
          <cell r="G663" t="str">
            <v>無型號</v>
          </cell>
        </row>
        <row r="664">
          <cell r="B664" t="str">
            <v>SMBF</v>
          </cell>
          <cell r="G664" t="str">
            <v>無型號</v>
          </cell>
        </row>
        <row r="665">
          <cell r="B665" t="str">
            <v>SOD-123FL OP1</v>
          </cell>
          <cell r="G665" t="str">
            <v>無型號</v>
          </cell>
        </row>
        <row r="670">
          <cell r="B670" t="str">
            <v>DO-218AB</v>
          </cell>
          <cell r="G670" t="str">
            <v>RSV152M-613-WD</v>
          </cell>
        </row>
        <row r="671">
          <cell r="B671" t="str">
            <v>DO-218AC</v>
          </cell>
          <cell r="G671" t="str">
            <v>RSV152M-613-WD</v>
          </cell>
        </row>
        <row r="672">
          <cell r="B672" t="str">
            <v>SOT-223</v>
          </cell>
          <cell r="G672" t="str">
            <v>RSV152M-613-WD</v>
          </cell>
        </row>
        <row r="673">
          <cell r="B673" t="str">
            <v>SOD-323HE</v>
          </cell>
          <cell r="G673" t="str">
            <v>RSV152M-613-WD</v>
          </cell>
        </row>
        <row r="674">
          <cell r="B674" t="str">
            <v>TDI</v>
          </cell>
          <cell r="G674" t="str">
            <v>RSV152M-613-WD</v>
          </cell>
        </row>
        <row r="679">
          <cell r="B679" t="str">
            <v>SOD-123FL</v>
          </cell>
          <cell r="G679" t="str">
            <v>TCF-380</v>
          </cell>
        </row>
        <row r="680">
          <cell r="B680" t="str">
            <v>TO-277 / 277B</v>
          </cell>
          <cell r="G680" t="str">
            <v>TCF-380</v>
          </cell>
        </row>
        <row r="681">
          <cell r="B681" t="str">
            <v>SMAF</v>
          </cell>
          <cell r="G681" t="str">
            <v>TCF-380</v>
          </cell>
        </row>
        <row r="682">
          <cell r="B682" t="str">
            <v>SMBF</v>
          </cell>
          <cell r="G682" t="str">
            <v>TCF-380</v>
          </cell>
        </row>
        <row r="683">
          <cell r="B683" t="str">
            <v>SOD-123FL OP1</v>
          </cell>
          <cell r="G683" t="str">
            <v>TCF-380</v>
          </cell>
        </row>
        <row r="688">
          <cell r="B688" t="str">
            <v>DO-218AB</v>
          </cell>
          <cell r="G688" t="str">
            <v>無型號</v>
          </cell>
        </row>
        <row r="689">
          <cell r="B689" t="str">
            <v>DO-218AC</v>
          </cell>
          <cell r="G689" t="str">
            <v>無型號</v>
          </cell>
        </row>
        <row r="695">
          <cell r="G695" t="str">
            <v>AD832UR</v>
          </cell>
          <cell r="I695">
            <v>1</v>
          </cell>
          <cell r="J695" t="str">
            <v>8&lt; X ≦11mil/A42/SN:車規/非車規</v>
          </cell>
        </row>
        <row r="696">
          <cell r="G696" t="str">
            <v>AD832UR</v>
          </cell>
          <cell r="I696">
            <v>1</v>
          </cell>
          <cell r="J696" t="str">
            <v>11&lt; X ≦15mil/A42/SN:車規/非車規</v>
          </cell>
        </row>
        <row r="697">
          <cell r="G697" t="str">
            <v>AD832UR</v>
          </cell>
          <cell r="I697">
            <v>1</v>
          </cell>
          <cell r="J697" t="str">
            <v>15&lt; X ≦20mil/A42/SN:車規/非車規</v>
          </cell>
        </row>
        <row r="698">
          <cell r="G698" t="str">
            <v>AD832UR</v>
          </cell>
          <cell r="I698">
            <v>1</v>
          </cell>
          <cell r="J698" t="str">
            <v>20&lt; Xmil/A42/SN:車規/非車規</v>
          </cell>
        </row>
        <row r="699">
          <cell r="G699" t="str">
            <v>AD832UR</v>
          </cell>
          <cell r="I699">
            <v>1</v>
          </cell>
          <cell r="J699" t="str">
            <v>8&lt; X ≦11mil/A42/AU:車規/非車規</v>
          </cell>
        </row>
        <row r="700">
          <cell r="G700" t="str">
            <v>AD832UR</v>
          </cell>
          <cell r="I700">
            <v>1</v>
          </cell>
          <cell r="J700" t="str">
            <v>11&lt; X ≦15mil/A42/AU:車規/非車規</v>
          </cell>
        </row>
        <row r="701">
          <cell r="G701" t="str">
            <v>AD832UR</v>
          </cell>
          <cell r="I701">
            <v>1</v>
          </cell>
          <cell r="J701" t="str">
            <v>15&lt; X ≦20mil/A42/AU:車規/非車規</v>
          </cell>
        </row>
        <row r="702">
          <cell r="G702" t="str">
            <v>AD832UR</v>
          </cell>
          <cell r="I702">
            <v>1</v>
          </cell>
          <cell r="J702" t="str">
            <v>20&lt; Xmil/A42/AU:車規/非車規</v>
          </cell>
        </row>
        <row r="703">
          <cell r="G703" t="str">
            <v>AD832UR</v>
          </cell>
          <cell r="I703">
            <v>1</v>
          </cell>
          <cell r="J703" t="str">
            <v>8&lt; X ≦11mil/CU/SN:車規/非車規</v>
          </cell>
        </row>
        <row r="704">
          <cell r="G704" t="str">
            <v>AD832UR</v>
          </cell>
          <cell r="I704">
            <v>1</v>
          </cell>
          <cell r="J704" t="str">
            <v>11&lt; X ≦15mil/CU/SN:車規/非車規</v>
          </cell>
        </row>
        <row r="705">
          <cell r="G705" t="str">
            <v>AD832UR</v>
          </cell>
          <cell r="I705">
            <v>1</v>
          </cell>
          <cell r="J705" t="str">
            <v>15&lt; X ≦20mil/CU/SN:車規/非車規</v>
          </cell>
        </row>
        <row r="706">
          <cell r="G706" t="str">
            <v>AD832UR</v>
          </cell>
          <cell r="I706">
            <v>1</v>
          </cell>
          <cell r="J706" t="str">
            <v>8&lt; X ≦11mil/CU/AU:車規/非車規</v>
          </cell>
        </row>
        <row r="707">
          <cell r="G707" t="str">
            <v>AD832UR</v>
          </cell>
          <cell r="I707">
            <v>1</v>
          </cell>
          <cell r="J707" t="str">
            <v>11&lt; X ≦21mil/CU/AU:車規/非車規</v>
          </cell>
        </row>
        <row r="708">
          <cell r="G708" t="str">
            <v>AD832UR</v>
          </cell>
          <cell r="I708">
            <v>2</v>
          </cell>
          <cell r="J708" t="str">
            <v>8&lt; X ≦11mil/A42/SN:車規/非車規</v>
          </cell>
        </row>
        <row r="709">
          <cell r="G709" t="str">
            <v>AD832UR</v>
          </cell>
          <cell r="I709">
            <v>2</v>
          </cell>
          <cell r="J709" t="str">
            <v>11&lt; X ≦15mil/A42/SN:車規/非車規</v>
          </cell>
        </row>
        <row r="710">
          <cell r="G710" t="str">
            <v>AD832UR</v>
          </cell>
          <cell r="I710">
            <v>2</v>
          </cell>
          <cell r="J710" t="str">
            <v>15&lt; X ≦20mil/A42/SN:車規/非車規</v>
          </cell>
        </row>
        <row r="711">
          <cell r="G711" t="str">
            <v>AD832UR</v>
          </cell>
          <cell r="I711">
            <v>2</v>
          </cell>
          <cell r="J711" t="str">
            <v>20&lt; Xmil/A42/SN:車規/非車規</v>
          </cell>
        </row>
        <row r="712">
          <cell r="G712" t="str">
            <v>AD832UR</v>
          </cell>
          <cell r="I712">
            <v>2</v>
          </cell>
          <cell r="J712" t="str">
            <v>8&lt; X ≦11mil/A42/AU:車規/非車規</v>
          </cell>
        </row>
        <row r="713">
          <cell r="G713" t="str">
            <v>AD832UR</v>
          </cell>
          <cell r="I713">
            <v>2</v>
          </cell>
          <cell r="J713" t="str">
            <v>11&lt; X ≦15mil/A42/AU:車規/非車規</v>
          </cell>
        </row>
        <row r="714">
          <cell r="G714" t="str">
            <v>AD832UR</v>
          </cell>
          <cell r="I714">
            <v>2</v>
          </cell>
          <cell r="J714" t="str">
            <v>15&lt; X ≦20mil/A42/AU:車規/非車規</v>
          </cell>
        </row>
        <row r="715">
          <cell r="G715" t="str">
            <v>AD832UR</v>
          </cell>
          <cell r="I715">
            <v>2</v>
          </cell>
          <cell r="J715" t="str">
            <v>20&lt; Xmil/A42/AU:車規/非車規</v>
          </cell>
        </row>
        <row r="716">
          <cell r="G716" t="str">
            <v>AD832UR</v>
          </cell>
          <cell r="I716">
            <v>2</v>
          </cell>
          <cell r="J716" t="str">
            <v>8&lt; X ≦11mil/CU/SN:車規/非車規</v>
          </cell>
        </row>
        <row r="717">
          <cell r="G717" t="str">
            <v>AD832UR</v>
          </cell>
          <cell r="I717">
            <v>2</v>
          </cell>
          <cell r="J717" t="str">
            <v>11&lt; X ≦15mil/CU/SN:車規/非車規</v>
          </cell>
        </row>
        <row r="718">
          <cell r="G718" t="str">
            <v>AD832UR</v>
          </cell>
          <cell r="I718">
            <v>2</v>
          </cell>
          <cell r="J718" t="str">
            <v>15&lt; X ≦20mil/CU/SN:車規/非車規</v>
          </cell>
        </row>
        <row r="719">
          <cell r="G719" t="str">
            <v>AD832UR</v>
          </cell>
          <cell r="I719">
            <v>2</v>
          </cell>
          <cell r="J719" t="str">
            <v>8&lt; X ≦11mil/CU/AU:車規/非車規</v>
          </cell>
        </row>
        <row r="720">
          <cell r="G720" t="str">
            <v>AD832UR</v>
          </cell>
          <cell r="I720">
            <v>2</v>
          </cell>
          <cell r="J720" t="str">
            <v>11&lt; X ≦21mil/CU/AU:車規/非車規</v>
          </cell>
        </row>
        <row r="721">
          <cell r="G721" t="str">
            <v>AD832UR</v>
          </cell>
          <cell r="I721">
            <v>4</v>
          </cell>
          <cell r="J721" t="str">
            <v>8&lt; X ≦11mil/A42/SN:車規/非車規</v>
          </cell>
        </row>
        <row r="722">
          <cell r="G722" t="str">
            <v>AD832UR</v>
          </cell>
          <cell r="I722">
            <v>4</v>
          </cell>
          <cell r="J722" t="str">
            <v>11&lt; X ≦15mil/A42/SN:車規/非車規</v>
          </cell>
        </row>
        <row r="723">
          <cell r="G723" t="str">
            <v>AD832UR</v>
          </cell>
          <cell r="I723">
            <v>4</v>
          </cell>
          <cell r="J723" t="str">
            <v>15&lt; X ≦20mil/A42/SN:車規/非車規</v>
          </cell>
        </row>
        <row r="724">
          <cell r="G724" t="str">
            <v>AD832UR</v>
          </cell>
          <cell r="I724">
            <v>4</v>
          </cell>
          <cell r="J724" t="str">
            <v>20&lt; Xmil/A42/SN:車規/非車規</v>
          </cell>
        </row>
        <row r="725">
          <cell r="G725" t="str">
            <v>AD832UR</v>
          </cell>
          <cell r="I725">
            <v>4</v>
          </cell>
          <cell r="J725" t="str">
            <v>8&lt; X ≦11mil/A42/AU:車規/非車規</v>
          </cell>
        </row>
        <row r="726">
          <cell r="G726" t="str">
            <v>AD832UR</v>
          </cell>
          <cell r="I726">
            <v>4</v>
          </cell>
          <cell r="J726" t="str">
            <v>11&lt; X ≦15mil/A42/AU:車規/非車規</v>
          </cell>
        </row>
        <row r="727">
          <cell r="G727" t="str">
            <v>AD832UR</v>
          </cell>
          <cell r="I727">
            <v>4</v>
          </cell>
          <cell r="J727" t="str">
            <v>15&lt; X ≦20mil/A42/AU:車規/非車規</v>
          </cell>
        </row>
        <row r="728">
          <cell r="G728" t="str">
            <v>AD832UR</v>
          </cell>
          <cell r="I728">
            <v>4</v>
          </cell>
          <cell r="J728" t="str">
            <v>20&lt; Xmil/A42/AU:車規/非車規</v>
          </cell>
        </row>
        <row r="729">
          <cell r="G729" t="str">
            <v>AD832UR</v>
          </cell>
          <cell r="I729">
            <v>4</v>
          </cell>
          <cell r="J729" t="str">
            <v>8&lt; X ≦11mil/CU/SN:車規/非車規</v>
          </cell>
        </row>
        <row r="730">
          <cell r="G730" t="str">
            <v>AD832UR</v>
          </cell>
          <cell r="I730">
            <v>4</v>
          </cell>
          <cell r="J730" t="str">
            <v>11&lt; X ≦15mil/CU/SN:車規/非車規</v>
          </cell>
        </row>
        <row r="731">
          <cell r="G731" t="str">
            <v>AD832UR</v>
          </cell>
          <cell r="I731">
            <v>4</v>
          </cell>
          <cell r="J731" t="str">
            <v>15&lt; X ≦20mil/CU/SN:車規/非車規</v>
          </cell>
        </row>
        <row r="732">
          <cell r="G732" t="str">
            <v>AD832UR</v>
          </cell>
          <cell r="I732">
            <v>4</v>
          </cell>
          <cell r="J732" t="str">
            <v>8&lt; X ≦11mil/CU/AU:車規/非車規</v>
          </cell>
        </row>
        <row r="733">
          <cell r="G733" t="str">
            <v>AD832UR</v>
          </cell>
          <cell r="I733">
            <v>4</v>
          </cell>
          <cell r="J733" t="str">
            <v>11&lt; X ≦21mil/CU/AU:車規/非車規</v>
          </cell>
        </row>
        <row r="741">
          <cell r="G741" t="str">
            <v>Eagle AERO GoCu</v>
          </cell>
          <cell r="I741">
            <v>1</v>
          </cell>
          <cell r="J741" t="str">
            <v>0.8mil/Au:車規/非車規</v>
          </cell>
        </row>
        <row r="742">
          <cell r="G742" t="str">
            <v>Eagle AERO GoCu</v>
          </cell>
          <cell r="I742">
            <v>1</v>
          </cell>
          <cell r="J742" t="str">
            <v>1.0mil/Au:車規/非車規</v>
          </cell>
        </row>
        <row r="743">
          <cell r="G743" t="str">
            <v>Eagle AERO GoCu</v>
          </cell>
          <cell r="I743">
            <v>1</v>
          </cell>
          <cell r="J743" t="str">
            <v>1.2mil/Au:車規/非車規</v>
          </cell>
        </row>
        <row r="744">
          <cell r="G744" t="str">
            <v>Eagle AERO GoCu</v>
          </cell>
          <cell r="I744">
            <v>1</v>
          </cell>
          <cell r="J744" t="str">
            <v>1.5mil/Au:車規/非車規</v>
          </cell>
        </row>
        <row r="745">
          <cell r="G745" t="str">
            <v>Eagle AERO GoCu</v>
          </cell>
          <cell r="I745">
            <v>1</v>
          </cell>
          <cell r="J745" t="str">
            <v>2.0mil/Au:車規/非車規</v>
          </cell>
        </row>
        <row r="746">
          <cell r="G746" t="str">
            <v>Eagle AERO GoCu</v>
          </cell>
          <cell r="I746">
            <v>1</v>
          </cell>
          <cell r="J746" t="str">
            <v>0.8mil/Cu:車規/非車規</v>
          </cell>
        </row>
        <row r="747">
          <cell r="G747" t="str">
            <v>Eagle AERO GoCu</v>
          </cell>
          <cell r="I747">
            <v>1</v>
          </cell>
          <cell r="J747" t="str">
            <v>1.0mil/Cu:車規/非車規</v>
          </cell>
        </row>
        <row r="748">
          <cell r="G748" t="str">
            <v>Eagle AERO GoCu</v>
          </cell>
          <cell r="I748">
            <v>1</v>
          </cell>
          <cell r="J748" t="str">
            <v>1.2mil/Cu:車規/非車規</v>
          </cell>
        </row>
        <row r="749">
          <cell r="G749" t="str">
            <v>Eagle AERO GoCu</v>
          </cell>
          <cell r="I749">
            <v>1</v>
          </cell>
          <cell r="J749" t="str">
            <v>1.5mil/Cu:車規/非車規</v>
          </cell>
        </row>
        <row r="750">
          <cell r="G750" t="str">
            <v>Eagle AERO GoCu</v>
          </cell>
          <cell r="I750">
            <v>1</v>
          </cell>
          <cell r="J750" t="str">
            <v>2.0mil/Cu:車規/非車規</v>
          </cell>
        </row>
        <row r="751">
          <cell r="G751" t="str">
            <v>Eagle AERO GoCu</v>
          </cell>
          <cell r="I751">
            <v>1</v>
          </cell>
          <cell r="J751" t="str">
            <v>0.8mil/Ag:車規/非車規</v>
          </cell>
        </row>
        <row r="752">
          <cell r="G752" t="str">
            <v>Eagle AERO GoCu</v>
          </cell>
          <cell r="I752">
            <v>1</v>
          </cell>
          <cell r="J752" t="str">
            <v>1.0mil/Ag:車規/非車規</v>
          </cell>
        </row>
        <row r="753">
          <cell r="G753" t="str">
            <v>Eagle AERO GoCu</v>
          </cell>
          <cell r="I753">
            <v>1</v>
          </cell>
          <cell r="J753" t="str">
            <v>1.2mil/Ag:車規/非車規</v>
          </cell>
        </row>
        <row r="754">
          <cell r="G754" t="str">
            <v>Eagle AERO GoCu</v>
          </cell>
          <cell r="I754">
            <v>1</v>
          </cell>
          <cell r="J754" t="str">
            <v>1.5mil/Ag:車規/非車規</v>
          </cell>
        </row>
        <row r="755">
          <cell r="G755" t="str">
            <v>Eagle AERO GoCu</v>
          </cell>
          <cell r="I755">
            <v>1</v>
          </cell>
          <cell r="J755" t="str">
            <v>2.0mil/Ag:車規/非車規</v>
          </cell>
        </row>
        <row r="756">
          <cell r="G756" t="str">
            <v>Eagle AERO GoCu</v>
          </cell>
          <cell r="I756">
            <v>2</v>
          </cell>
          <cell r="J756" t="str">
            <v>0.8mil/Au:車規/非車規</v>
          </cell>
        </row>
        <row r="757">
          <cell r="G757" t="str">
            <v>Eagle AERO GoCu</v>
          </cell>
          <cell r="I757">
            <v>2</v>
          </cell>
          <cell r="J757" t="str">
            <v>1.0mil/Au:車規/非車規</v>
          </cell>
        </row>
        <row r="758">
          <cell r="G758" t="str">
            <v>Eagle AERO GoCu</v>
          </cell>
          <cell r="I758">
            <v>2</v>
          </cell>
          <cell r="J758" t="str">
            <v>1.2mil/Au:車規/非車規</v>
          </cell>
        </row>
        <row r="759">
          <cell r="G759" t="str">
            <v>Eagle AERO GoCu</v>
          </cell>
          <cell r="I759">
            <v>2</v>
          </cell>
          <cell r="J759" t="str">
            <v>1.5mil/Au:車規/非車規</v>
          </cell>
        </row>
        <row r="760">
          <cell r="G760" t="str">
            <v>Eagle AERO GoCu</v>
          </cell>
          <cell r="I760">
            <v>2</v>
          </cell>
          <cell r="J760" t="str">
            <v>2.0mil/Au:車規/非車規</v>
          </cell>
        </row>
        <row r="761">
          <cell r="G761" t="str">
            <v>Eagle AERO GoCu</v>
          </cell>
          <cell r="I761">
            <v>2</v>
          </cell>
          <cell r="J761" t="str">
            <v>0.8mil/Cu:車規/非車規</v>
          </cell>
        </row>
        <row r="762">
          <cell r="G762" t="str">
            <v>Eagle AERO GoCu</v>
          </cell>
          <cell r="I762">
            <v>2</v>
          </cell>
          <cell r="J762" t="str">
            <v>1.0mil/Cu:車規/非車規</v>
          </cell>
        </row>
        <row r="763">
          <cell r="G763" t="str">
            <v>Eagle AERO GoCu</v>
          </cell>
          <cell r="I763">
            <v>2</v>
          </cell>
          <cell r="J763" t="str">
            <v>1.2mil/Cu:車規/非車規</v>
          </cell>
        </row>
        <row r="764">
          <cell r="G764" t="str">
            <v>Eagle AERO GoCu</v>
          </cell>
          <cell r="I764">
            <v>2</v>
          </cell>
          <cell r="J764" t="str">
            <v>1.5mil/Cu:車規/非車規</v>
          </cell>
        </row>
        <row r="765">
          <cell r="G765" t="str">
            <v>Eagle AERO GoCu</v>
          </cell>
          <cell r="I765">
            <v>2</v>
          </cell>
          <cell r="J765" t="str">
            <v>2.0mil/Cu:車規/非車規</v>
          </cell>
        </row>
        <row r="766">
          <cell r="G766" t="str">
            <v>Eagle AERO GoCu</v>
          </cell>
          <cell r="I766">
            <v>2</v>
          </cell>
          <cell r="J766" t="str">
            <v>0.8mil/Ag:車規/非車規</v>
          </cell>
        </row>
        <row r="767">
          <cell r="G767" t="str">
            <v>Eagle AERO GoCu</v>
          </cell>
          <cell r="I767">
            <v>2</v>
          </cell>
          <cell r="J767" t="str">
            <v>1.0mil/Ag:車規/非車規</v>
          </cell>
        </row>
        <row r="768">
          <cell r="G768" t="str">
            <v>Eagle AERO GoCu</v>
          </cell>
          <cell r="I768">
            <v>2</v>
          </cell>
          <cell r="J768" t="str">
            <v>1.2mil/Ag:車規/非車規</v>
          </cell>
        </row>
        <row r="769">
          <cell r="G769" t="str">
            <v>Eagle AERO GoCu</v>
          </cell>
          <cell r="I769">
            <v>2</v>
          </cell>
          <cell r="J769" t="str">
            <v>1.5mil/Ag:車規/非車規</v>
          </cell>
        </row>
        <row r="770">
          <cell r="G770" t="str">
            <v>Eagle AERO GoCu</v>
          </cell>
          <cell r="I770">
            <v>2</v>
          </cell>
          <cell r="J770" t="str">
            <v>2.0mil/Ag:車規/非車規</v>
          </cell>
        </row>
        <row r="771">
          <cell r="G771" t="str">
            <v>Eagle AERO GoCu</v>
          </cell>
          <cell r="I771">
            <v>3</v>
          </cell>
          <cell r="J771" t="str">
            <v>0.8mil/Au:車規/非車規</v>
          </cell>
        </row>
        <row r="772">
          <cell r="G772" t="str">
            <v>Eagle AERO GoCu</v>
          </cell>
          <cell r="I772">
            <v>3</v>
          </cell>
          <cell r="J772" t="str">
            <v>1.0mil/Au:車規/非車規</v>
          </cell>
        </row>
        <row r="773">
          <cell r="G773" t="str">
            <v>Eagle AERO GoCu</v>
          </cell>
          <cell r="I773">
            <v>3</v>
          </cell>
          <cell r="J773" t="str">
            <v>1.2mil/Au:車規/非車規</v>
          </cell>
        </row>
        <row r="774">
          <cell r="G774" t="str">
            <v>Eagle AERO GoCu</v>
          </cell>
          <cell r="I774">
            <v>3</v>
          </cell>
          <cell r="J774" t="str">
            <v>1.5mil/Au:車規/非車規</v>
          </cell>
        </row>
        <row r="775">
          <cell r="G775" t="str">
            <v>Eagle AERO GoCu</v>
          </cell>
          <cell r="I775">
            <v>3</v>
          </cell>
          <cell r="J775" t="str">
            <v>2.0mil/Au:車規/非車規</v>
          </cell>
        </row>
        <row r="776">
          <cell r="G776" t="str">
            <v>Eagle AERO GoCu</v>
          </cell>
          <cell r="I776">
            <v>3</v>
          </cell>
          <cell r="J776" t="str">
            <v>0.8mil/Cu:車規/非車規</v>
          </cell>
        </row>
        <row r="777">
          <cell r="G777" t="str">
            <v>Eagle AERO GoCu</v>
          </cell>
          <cell r="I777">
            <v>3</v>
          </cell>
          <cell r="J777" t="str">
            <v>1.0mil/Cu:車規/非車規</v>
          </cell>
        </row>
        <row r="778">
          <cell r="G778" t="str">
            <v>Eagle AERO GoCu</v>
          </cell>
          <cell r="I778">
            <v>3</v>
          </cell>
          <cell r="J778" t="str">
            <v>1.2mil/Cu:車規/非車規</v>
          </cell>
        </row>
        <row r="779">
          <cell r="G779" t="str">
            <v>Eagle AERO GoCu</v>
          </cell>
          <cell r="I779">
            <v>3</v>
          </cell>
          <cell r="J779" t="str">
            <v>1.5mil/Cu:車規/非車規</v>
          </cell>
        </row>
        <row r="780">
          <cell r="G780" t="str">
            <v>Eagle AERO GoCu</v>
          </cell>
          <cell r="I780">
            <v>3</v>
          </cell>
          <cell r="J780" t="str">
            <v>2.0mil/Cu:車規/非車規</v>
          </cell>
        </row>
        <row r="781">
          <cell r="G781" t="str">
            <v>Eagle AERO GoCu</v>
          </cell>
          <cell r="I781">
            <v>3</v>
          </cell>
          <cell r="J781" t="str">
            <v>0.8mil/Ag:車規/非車規</v>
          </cell>
        </row>
        <row r="782">
          <cell r="G782" t="str">
            <v>Eagle AERO GoCu</v>
          </cell>
          <cell r="I782">
            <v>3</v>
          </cell>
          <cell r="J782" t="str">
            <v>1.0mil/Ag:車規/非車規</v>
          </cell>
        </row>
        <row r="783">
          <cell r="G783" t="str">
            <v>Eagle AERO GoCu</v>
          </cell>
          <cell r="I783">
            <v>3</v>
          </cell>
          <cell r="J783" t="str">
            <v>1.2mil/Ag:車規/非車規</v>
          </cell>
        </row>
        <row r="784">
          <cell r="G784" t="str">
            <v>Eagle AERO GoCu</v>
          </cell>
          <cell r="I784">
            <v>3</v>
          </cell>
          <cell r="J784" t="str">
            <v>1.5mil/Ag:車規/非車規</v>
          </cell>
        </row>
        <row r="785">
          <cell r="G785" t="str">
            <v>Eagle AERO GoCu</v>
          </cell>
          <cell r="I785">
            <v>3</v>
          </cell>
          <cell r="J785" t="str">
            <v>2.0mil/Ag:車規/非車規</v>
          </cell>
        </row>
        <row r="786">
          <cell r="G786" t="str">
            <v>Eagle AERO GoCu</v>
          </cell>
          <cell r="I786">
            <v>4</v>
          </cell>
          <cell r="J786" t="str">
            <v>0.8mil/Au:車規/非車規</v>
          </cell>
        </row>
        <row r="787">
          <cell r="G787" t="str">
            <v>Eagle AERO GoCu</v>
          </cell>
          <cell r="I787">
            <v>4</v>
          </cell>
          <cell r="J787" t="str">
            <v>1.0mil/Au:車規/非車規</v>
          </cell>
        </row>
        <row r="788">
          <cell r="G788" t="str">
            <v>Eagle AERO GoCu</v>
          </cell>
          <cell r="I788">
            <v>4</v>
          </cell>
          <cell r="J788" t="str">
            <v>1.2mil/Au:車規/非車規</v>
          </cell>
        </row>
        <row r="789">
          <cell r="G789" t="str">
            <v>Eagle AERO GoCu</v>
          </cell>
          <cell r="I789">
            <v>4</v>
          </cell>
          <cell r="J789" t="str">
            <v>1.5mil/Au:車規/非車規</v>
          </cell>
        </row>
        <row r="790">
          <cell r="G790" t="str">
            <v>Eagle AERO GoCu</v>
          </cell>
          <cell r="I790">
            <v>4</v>
          </cell>
          <cell r="J790" t="str">
            <v>2.0mil/Au:車規/非車規</v>
          </cell>
        </row>
        <row r="791">
          <cell r="G791" t="str">
            <v>Eagle AERO GoCu</v>
          </cell>
          <cell r="I791">
            <v>4</v>
          </cell>
          <cell r="J791" t="str">
            <v>0.8mil/Cu:車規/非車規</v>
          </cell>
        </row>
        <row r="792">
          <cell r="G792" t="str">
            <v>Eagle AERO GoCu</v>
          </cell>
          <cell r="I792">
            <v>4</v>
          </cell>
          <cell r="J792" t="str">
            <v>1.0mil/Cu:車規/非車規</v>
          </cell>
        </row>
        <row r="793">
          <cell r="G793" t="str">
            <v>Eagle AERO GoCu</v>
          </cell>
          <cell r="I793">
            <v>4</v>
          </cell>
          <cell r="J793" t="str">
            <v>1.2mil/Cu:車規/非車規</v>
          </cell>
        </row>
        <row r="794">
          <cell r="G794" t="str">
            <v>Eagle AERO GoCu</v>
          </cell>
          <cell r="I794">
            <v>4</v>
          </cell>
          <cell r="J794" t="str">
            <v>1.5mil/Cu:車規/非車規</v>
          </cell>
        </row>
        <row r="795">
          <cell r="G795" t="str">
            <v>Eagle AERO GoCu</v>
          </cell>
          <cell r="I795">
            <v>4</v>
          </cell>
          <cell r="J795" t="str">
            <v>2.0mil/Cu:車規/非車規</v>
          </cell>
        </row>
        <row r="796">
          <cell r="G796" t="str">
            <v>Eagle AERO GoCu</v>
          </cell>
          <cell r="I796">
            <v>4</v>
          </cell>
          <cell r="J796" t="str">
            <v>0.8mil/Ag:車規/非車規</v>
          </cell>
        </row>
        <row r="797">
          <cell r="G797" t="str">
            <v>Eagle AERO GoCu</v>
          </cell>
          <cell r="I797">
            <v>4</v>
          </cell>
          <cell r="J797" t="str">
            <v>1.0mil/Ag:車規/非車規</v>
          </cell>
        </row>
        <row r="798">
          <cell r="G798" t="str">
            <v>Eagle AERO GoCu</v>
          </cell>
          <cell r="I798">
            <v>4</v>
          </cell>
          <cell r="J798" t="str">
            <v>1.2mil/Ag:車規/非車規</v>
          </cell>
        </row>
        <row r="799">
          <cell r="G799" t="str">
            <v>Eagle AERO GoCu</v>
          </cell>
          <cell r="I799">
            <v>4</v>
          </cell>
          <cell r="J799" t="str">
            <v>1.5mil/Ag:車規/非車規</v>
          </cell>
        </row>
        <row r="800">
          <cell r="G800" t="str">
            <v>Eagle AERO GoCu</v>
          </cell>
          <cell r="I800">
            <v>4</v>
          </cell>
          <cell r="J800" t="str">
            <v>2.0mil/Ag:車規/非車規</v>
          </cell>
        </row>
        <row r="801">
          <cell r="G801" t="str">
            <v>Eagle AERO GoCu</v>
          </cell>
          <cell r="I801">
            <v>1</v>
          </cell>
          <cell r="J801" t="str">
            <v>0.8mil/Au:車規/非車規</v>
          </cell>
        </row>
        <row r="802">
          <cell r="G802" t="str">
            <v>Eagle AERO GoCu</v>
          </cell>
          <cell r="I802">
            <v>1</v>
          </cell>
          <cell r="J802" t="str">
            <v>1.0mil/Au:車規/非車規</v>
          </cell>
        </row>
        <row r="803">
          <cell r="G803" t="str">
            <v>Eagle AERO GoCu</v>
          </cell>
          <cell r="I803">
            <v>1</v>
          </cell>
          <cell r="J803" t="str">
            <v>1.2mil/Au:車規/非車規</v>
          </cell>
        </row>
        <row r="804">
          <cell r="G804" t="str">
            <v>Eagle AERO GoCu</v>
          </cell>
          <cell r="I804">
            <v>1</v>
          </cell>
          <cell r="J804" t="str">
            <v>1.5mil/Au:車規/非車規</v>
          </cell>
        </row>
        <row r="805">
          <cell r="G805" t="str">
            <v>Eagle AERO GoCu</v>
          </cell>
          <cell r="I805">
            <v>1</v>
          </cell>
          <cell r="J805" t="str">
            <v>2.0mil/Au:車規/非車規</v>
          </cell>
        </row>
        <row r="806">
          <cell r="G806" t="str">
            <v>Eagle AERO GoCu</v>
          </cell>
          <cell r="I806">
            <v>1</v>
          </cell>
          <cell r="J806" t="str">
            <v>0.8mil/Cu:車規/非車規</v>
          </cell>
        </row>
        <row r="807">
          <cell r="G807" t="str">
            <v>Eagle AERO GoCu</v>
          </cell>
          <cell r="I807">
            <v>1</v>
          </cell>
          <cell r="J807" t="str">
            <v>1.0mil/Cu:車規/非車規</v>
          </cell>
        </row>
        <row r="808">
          <cell r="G808" t="str">
            <v>Eagle AERO GoCu</v>
          </cell>
          <cell r="I808">
            <v>1</v>
          </cell>
          <cell r="J808" t="str">
            <v>1.2mil/Cu:車規/非車規</v>
          </cell>
        </row>
        <row r="809">
          <cell r="G809" t="str">
            <v>Eagle AERO GoCu</v>
          </cell>
          <cell r="I809">
            <v>1</v>
          </cell>
          <cell r="J809" t="str">
            <v>1.5mil/Cu:車規/非車規</v>
          </cell>
        </row>
        <row r="810">
          <cell r="G810" t="str">
            <v>Eagle AERO GoCu</v>
          </cell>
          <cell r="I810">
            <v>1</v>
          </cell>
          <cell r="J810" t="str">
            <v>2.0mil/Cu:車規/非車規</v>
          </cell>
        </row>
        <row r="811">
          <cell r="G811" t="str">
            <v>Eagle AERO GoCu</v>
          </cell>
          <cell r="I811">
            <v>1</v>
          </cell>
          <cell r="J811" t="str">
            <v>0.8mil/Ag:車規/非車規</v>
          </cell>
        </row>
        <row r="812">
          <cell r="G812" t="str">
            <v>Eagle AERO GoCu</v>
          </cell>
          <cell r="I812">
            <v>1</v>
          </cell>
          <cell r="J812" t="str">
            <v>1.0mil/Ag:車規/非車規</v>
          </cell>
        </row>
        <row r="813">
          <cell r="G813" t="str">
            <v>Eagle AERO GoCu</v>
          </cell>
          <cell r="I813">
            <v>1</v>
          </cell>
          <cell r="J813" t="str">
            <v>1.2mil/Ag:車規/非車規</v>
          </cell>
        </row>
        <row r="814">
          <cell r="G814" t="str">
            <v>Eagle AERO GoCu</v>
          </cell>
          <cell r="I814">
            <v>1</v>
          </cell>
          <cell r="J814" t="str">
            <v>1.5mil/Ag:車規/非車規</v>
          </cell>
        </row>
        <row r="815">
          <cell r="G815" t="str">
            <v>Eagle AERO GoCu</v>
          </cell>
          <cell r="I815">
            <v>1</v>
          </cell>
          <cell r="J815" t="str">
            <v>2.0mil/Ag:車規/非車規</v>
          </cell>
        </row>
        <row r="816">
          <cell r="G816" t="str">
            <v>Eagle AERO GoCu</v>
          </cell>
          <cell r="I816">
            <v>2</v>
          </cell>
          <cell r="J816" t="str">
            <v>0.8mil/Au:車規/非車規</v>
          </cell>
        </row>
        <row r="817">
          <cell r="G817" t="str">
            <v>Eagle AERO GoCu</v>
          </cell>
          <cell r="I817">
            <v>2</v>
          </cell>
          <cell r="J817" t="str">
            <v>1.0mil/Au:車規/非車規</v>
          </cell>
        </row>
        <row r="818">
          <cell r="G818" t="str">
            <v>Eagle AERO GoCu</v>
          </cell>
          <cell r="I818">
            <v>2</v>
          </cell>
          <cell r="J818" t="str">
            <v>1.2mil/Au:車規/非車規</v>
          </cell>
        </row>
        <row r="819">
          <cell r="G819" t="str">
            <v>Eagle AERO GoCu</v>
          </cell>
          <cell r="I819">
            <v>2</v>
          </cell>
          <cell r="J819" t="str">
            <v>1.5mil/Au:車規/非車規</v>
          </cell>
        </row>
        <row r="820">
          <cell r="G820" t="str">
            <v>Eagle AERO GoCu</v>
          </cell>
          <cell r="I820">
            <v>2</v>
          </cell>
          <cell r="J820" t="str">
            <v>2.0mil/Au:車規/非車規</v>
          </cell>
        </row>
        <row r="821">
          <cell r="G821" t="str">
            <v>Eagle AERO GoCu</v>
          </cell>
          <cell r="I821">
            <v>2</v>
          </cell>
          <cell r="J821" t="str">
            <v>0.8mil/Cu:車規/非車規</v>
          </cell>
        </row>
        <row r="822">
          <cell r="G822" t="str">
            <v>Eagle AERO GoCu</v>
          </cell>
          <cell r="I822">
            <v>2</v>
          </cell>
          <cell r="J822" t="str">
            <v>1.0mil/Cu:車規/非車規</v>
          </cell>
        </row>
        <row r="823">
          <cell r="G823" t="str">
            <v>Eagle AERO GoCu</v>
          </cell>
          <cell r="I823">
            <v>2</v>
          </cell>
          <cell r="J823" t="str">
            <v>1.2mil/Cu:車規/非車規</v>
          </cell>
        </row>
        <row r="824">
          <cell r="G824" t="str">
            <v>Eagle AERO GoCu</v>
          </cell>
          <cell r="I824">
            <v>2</v>
          </cell>
          <cell r="J824" t="str">
            <v>1.5mil/Cu:車規/非車規</v>
          </cell>
        </row>
        <row r="825">
          <cell r="G825" t="str">
            <v>Eagle AERO GoCu</v>
          </cell>
          <cell r="I825">
            <v>2</v>
          </cell>
          <cell r="J825" t="str">
            <v>2.0mil/Cu:車規/非車規</v>
          </cell>
        </row>
        <row r="826">
          <cell r="G826" t="str">
            <v>Eagle AERO GoCu</v>
          </cell>
          <cell r="I826">
            <v>2</v>
          </cell>
          <cell r="J826" t="str">
            <v>0.8mil/Ag:車規/非車規</v>
          </cell>
        </row>
        <row r="827">
          <cell r="G827" t="str">
            <v>Eagle AERO GoCu</v>
          </cell>
          <cell r="I827">
            <v>2</v>
          </cell>
          <cell r="J827" t="str">
            <v>1.0mil/Ag:車規/非車規</v>
          </cell>
        </row>
        <row r="828">
          <cell r="G828" t="str">
            <v>Eagle AERO GoCu</v>
          </cell>
          <cell r="I828">
            <v>2</v>
          </cell>
          <cell r="J828" t="str">
            <v>1.2mil/Ag:車規/非車規</v>
          </cell>
        </row>
        <row r="829">
          <cell r="G829" t="str">
            <v>Eagle AERO GoCu</v>
          </cell>
          <cell r="I829">
            <v>2</v>
          </cell>
          <cell r="J829" t="str">
            <v>1.5mil/Ag:車規/非車規</v>
          </cell>
        </row>
        <row r="830">
          <cell r="G830" t="str">
            <v>Eagle AERO GoCu</v>
          </cell>
          <cell r="I830">
            <v>2</v>
          </cell>
          <cell r="J830" t="str">
            <v>2.0mil/Ag:車規/非車規</v>
          </cell>
        </row>
        <row r="831">
          <cell r="G831" t="str">
            <v>Eagle AERO GoCu</v>
          </cell>
          <cell r="I831">
            <v>3</v>
          </cell>
          <cell r="J831" t="str">
            <v>0.8mil/Au:車規/非車規</v>
          </cell>
        </row>
        <row r="832">
          <cell r="G832" t="str">
            <v>Eagle AERO GoCu</v>
          </cell>
          <cell r="I832">
            <v>3</v>
          </cell>
          <cell r="J832" t="str">
            <v>1.0mil/Au:車規/非車規</v>
          </cell>
        </row>
        <row r="833">
          <cell r="G833" t="str">
            <v>Eagle AERO GoCu</v>
          </cell>
          <cell r="I833">
            <v>3</v>
          </cell>
          <cell r="J833" t="str">
            <v>1.2mil/Au:車規/非車規</v>
          </cell>
        </row>
        <row r="834">
          <cell r="G834" t="str">
            <v>Eagle AERO GoCu</v>
          </cell>
          <cell r="I834">
            <v>3</v>
          </cell>
          <cell r="J834" t="str">
            <v>1.5mil/Au:車規/非車規</v>
          </cell>
        </row>
        <row r="835">
          <cell r="G835" t="str">
            <v>Eagle AERO GoCu</v>
          </cell>
          <cell r="I835">
            <v>3</v>
          </cell>
          <cell r="J835" t="str">
            <v>2.0mil/Au:車規/非車規</v>
          </cell>
        </row>
        <row r="836">
          <cell r="G836" t="str">
            <v>Eagle AERO GoCu</v>
          </cell>
          <cell r="I836">
            <v>3</v>
          </cell>
          <cell r="J836" t="str">
            <v>0.8mil/Cu:車規/非車規</v>
          </cell>
        </row>
        <row r="837">
          <cell r="G837" t="str">
            <v>Eagle AERO GoCu</v>
          </cell>
          <cell r="I837">
            <v>3</v>
          </cell>
          <cell r="J837" t="str">
            <v>1.0mil/Cu:車規/非車規</v>
          </cell>
        </row>
        <row r="838">
          <cell r="G838" t="str">
            <v>Eagle AERO GoCu</v>
          </cell>
          <cell r="I838">
            <v>3</v>
          </cell>
          <cell r="J838" t="str">
            <v>1.2mil/Cu:車規/非車規</v>
          </cell>
        </row>
        <row r="839">
          <cell r="G839" t="str">
            <v>Eagle AERO GoCu</v>
          </cell>
          <cell r="I839">
            <v>3</v>
          </cell>
          <cell r="J839" t="str">
            <v>1.5mil/Cu:車規/非車規</v>
          </cell>
        </row>
        <row r="840">
          <cell r="G840" t="str">
            <v>Eagle AERO GoCu</v>
          </cell>
          <cell r="I840">
            <v>3</v>
          </cell>
          <cell r="J840" t="str">
            <v>2.0mil/Cu:車規/非車規</v>
          </cell>
        </row>
        <row r="841">
          <cell r="G841" t="str">
            <v>Eagle AERO GoCu</v>
          </cell>
          <cell r="I841">
            <v>3</v>
          </cell>
          <cell r="J841" t="str">
            <v>0.8mil/Ag:車規/非車規</v>
          </cell>
        </row>
        <row r="842">
          <cell r="G842" t="str">
            <v>Eagle AERO GoCu</v>
          </cell>
          <cell r="I842">
            <v>3</v>
          </cell>
          <cell r="J842" t="str">
            <v>1.0mil/Ag:車規/非車規</v>
          </cell>
        </row>
        <row r="843">
          <cell r="G843" t="str">
            <v>Eagle AERO GoCu</v>
          </cell>
          <cell r="I843">
            <v>3</v>
          </cell>
          <cell r="J843" t="str">
            <v>1.2mil/Ag:車規/非車規</v>
          </cell>
        </row>
        <row r="844">
          <cell r="G844" t="str">
            <v>Eagle AERO GoCu</v>
          </cell>
          <cell r="I844">
            <v>3</v>
          </cell>
          <cell r="J844" t="str">
            <v>1.5mil/Ag:車規/非車規</v>
          </cell>
        </row>
        <row r="845">
          <cell r="G845" t="str">
            <v>Eagle AERO GoCu</v>
          </cell>
          <cell r="I845">
            <v>3</v>
          </cell>
          <cell r="J845" t="str">
            <v>2.0mil/Ag:車規/非車規</v>
          </cell>
        </row>
        <row r="846">
          <cell r="G846" t="str">
            <v>Eagle AERO GoCu</v>
          </cell>
          <cell r="I846">
            <v>4</v>
          </cell>
          <cell r="J846" t="str">
            <v>0.8mil/Au:車規/非車規</v>
          </cell>
        </row>
        <row r="847">
          <cell r="G847" t="str">
            <v>Eagle AERO GoCu</v>
          </cell>
          <cell r="I847">
            <v>4</v>
          </cell>
          <cell r="J847" t="str">
            <v>1.0mil/Au:車規/非車規</v>
          </cell>
        </row>
        <row r="848">
          <cell r="G848" t="str">
            <v>Eagle AERO GoCu</v>
          </cell>
          <cell r="I848">
            <v>4</v>
          </cell>
          <cell r="J848" t="str">
            <v>1.2mil/Au:車規/非車規</v>
          </cell>
        </row>
        <row r="849">
          <cell r="G849" t="str">
            <v>Eagle AERO GoCu</v>
          </cell>
          <cell r="I849">
            <v>4</v>
          </cell>
          <cell r="J849" t="str">
            <v>1.5mil/Au:車規/非車規</v>
          </cell>
        </row>
        <row r="850">
          <cell r="G850" t="str">
            <v>Eagle AERO GoCu</v>
          </cell>
          <cell r="I850">
            <v>4</v>
          </cell>
          <cell r="J850" t="str">
            <v>2.0mil/Au:車規/非車規</v>
          </cell>
        </row>
        <row r="851">
          <cell r="G851" t="str">
            <v>Eagle AERO GoCu</v>
          </cell>
          <cell r="I851">
            <v>4</v>
          </cell>
          <cell r="J851" t="str">
            <v>0.8mil/Cu:車規/非車規</v>
          </cell>
        </row>
        <row r="852">
          <cell r="G852" t="str">
            <v>Eagle AERO GoCu</v>
          </cell>
          <cell r="I852">
            <v>4</v>
          </cell>
          <cell r="J852" t="str">
            <v>1.0mil/Cu:車規/非車規</v>
          </cell>
        </row>
        <row r="853">
          <cell r="G853" t="str">
            <v>Eagle AERO GoCu</v>
          </cell>
          <cell r="I853">
            <v>4</v>
          </cell>
          <cell r="J853" t="str">
            <v>1.2mil/Cu:車規/非車規</v>
          </cell>
        </row>
        <row r="854">
          <cell r="G854" t="str">
            <v>Eagle AERO GoCu</v>
          </cell>
          <cell r="I854">
            <v>4</v>
          </cell>
          <cell r="J854" t="str">
            <v>1.5mil/Cu:車規/非車規</v>
          </cell>
        </row>
        <row r="855">
          <cell r="G855" t="str">
            <v>Eagle AERO GoCu</v>
          </cell>
          <cell r="I855">
            <v>4</v>
          </cell>
          <cell r="J855" t="str">
            <v>2.0mil/Cu:車規/非車規</v>
          </cell>
        </row>
        <row r="856">
          <cell r="G856" t="str">
            <v>Eagle AERO GoCu</v>
          </cell>
          <cell r="I856">
            <v>4</v>
          </cell>
          <cell r="J856" t="str">
            <v>0.8mil/Ag:車規/非車規</v>
          </cell>
        </row>
        <row r="857">
          <cell r="G857" t="str">
            <v>Eagle AERO GoCu</v>
          </cell>
          <cell r="I857">
            <v>4</v>
          </cell>
          <cell r="J857" t="str">
            <v>1.0mil/Ag:車規/非車規</v>
          </cell>
        </row>
        <row r="858">
          <cell r="G858" t="str">
            <v>Eagle AERO GoCu</v>
          </cell>
          <cell r="I858">
            <v>4</v>
          </cell>
          <cell r="J858" t="str">
            <v>1.2mil/Ag:車規/非車規</v>
          </cell>
        </row>
        <row r="859">
          <cell r="G859" t="str">
            <v>Eagle AERO GoCu</v>
          </cell>
          <cell r="I859">
            <v>4</v>
          </cell>
          <cell r="J859" t="str">
            <v>1.5mil/Ag:車規/非車規</v>
          </cell>
        </row>
        <row r="860">
          <cell r="G860" t="str">
            <v>Eagle AERO GoCu</v>
          </cell>
          <cell r="I860">
            <v>4</v>
          </cell>
          <cell r="J860" t="str">
            <v>2.0mil/Ag:車規/非車規</v>
          </cell>
        </row>
        <row r="865">
          <cell r="B865" t="str">
            <v>SOT-523 HD</v>
          </cell>
          <cell r="G865" t="str">
            <v>ConnX Elite</v>
          </cell>
          <cell r="I865">
            <v>2</v>
          </cell>
          <cell r="J865" t="str">
            <v>CU</v>
          </cell>
        </row>
        <row r="866">
          <cell r="B866" t="str">
            <v>SOT-523 HD</v>
          </cell>
          <cell r="G866" t="str">
            <v>ConnX Elite</v>
          </cell>
          <cell r="I866">
            <v>2</v>
          </cell>
          <cell r="J866" t="str">
            <v>AG</v>
          </cell>
        </row>
        <row r="867">
          <cell r="B867" t="str">
            <v>SOT-523 HD</v>
          </cell>
          <cell r="G867" t="str">
            <v>ConnX Elite</v>
          </cell>
          <cell r="I867">
            <v>2</v>
          </cell>
          <cell r="J867" t="str">
            <v>AU</v>
          </cell>
        </row>
        <row r="868">
          <cell r="B868" t="str">
            <v>SC-89</v>
          </cell>
          <cell r="G868" t="str">
            <v>ConnX Elite</v>
          </cell>
          <cell r="I868">
            <v>2</v>
          </cell>
          <cell r="J868" t="str">
            <v>AU</v>
          </cell>
        </row>
        <row r="869">
          <cell r="B869" t="str">
            <v>SOT-563 HD</v>
          </cell>
          <cell r="G869" t="str">
            <v>ConnX Elite</v>
          </cell>
          <cell r="I869">
            <v>4</v>
          </cell>
          <cell r="J869" t="str">
            <v>CU</v>
          </cell>
        </row>
        <row r="870">
          <cell r="B870" t="str">
            <v>SOT-563 HD</v>
          </cell>
          <cell r="G870" t="str">
            <v>ConnX Elite</v>
          </cell>
          <cell r="I870">
            <v>4</v>
          </cell>
          <cell r="J870" t="str">
            <v>AG</v>
          </cell>
        </row>
        <row r="871">
          <cell r="B871" t="str">
            <v>SOT-563 HD</v>
          </cell>
          <cell r="G871" t="str">
            <v>ConnX Elite</v>
          </cell>
          <cell r="I871">
            <v>4</v>
          </cell>
          <cell r="J871" t="str">
            <v>AU</v>
          </cell>
        </row>
        <row r="872">
          <cell r="B872" t="str">
            <v>SOT-363</v>
          </cell>
          <cell r="G872" t="str">
            <v>ConnX Elite</v>
          </cell>
          <cell r="I872">
            <v>4</v>
          </cell>
          <cell r="J872" t="str">
            <v>AU</v>
          </cell>
        </row>
        <row r="873">
          <cell r="B873" t="str">
            <v>SOT-323 HD</v>
          </cell>
          <cell r="G873" t="str">
            <v>ConnX Elite</v>
          </cell>
          <cell r="I873">
            <v>2</v>
          </cell>
          <cell r="J873" t="str">
            <v>CU</v>
          </cell>
        </row>
        <row r="874">
          <cell r="B874" t="str">
            <v>SOD-323 HD</v>
          </cell>
          <cell r="G874" t="str">
            <v>ConnX Elite</v>
          </cell>
          <cell r="I874">
            <v>1</v>
          </cell>
        </row>
        <row r="875">
          <cell r="B875" t="str">
            <v>SOD-123</v>
          </cell>
          <cell r="G875" t="str">
            <v>ConnX Elite</v>
          </cell>
          <cell r="I875">
            <v>1</v>
          </cell>
          <cell r="J875" t="str">
            <v>1.2mil/Cu:車規/非車規</v>
          </cell>
        </row>
        <row r="876">
          <cell r="B876" t="str">
            <v>SOD-323</v>
          </cell>
          <cell r="G876" t="str">
            <v>ConnX Elite</v>
          </cell>
          <cell r="I876">
            <v>1</v>
          </cell>
          <cell r="J876" t="str">
            <v>1.0mil/Cu:車規/非車規</v>
          </cell>
        </row>
        <row r="877">
          <cell r="B877" t="str">
            <v>SOT-23</v>
          </cell>
          <cell r="G877" t="str">
            <v>ConnX Elite</v>
          </cell>
          <cell r="I877">
            <v>2</v>
          </cell>
          <cell r="J877" t="str">
            <v>Cu</v>
          </cell>
        </row>
        <row r="878">
          <cell r="B878" t="str">
            <v>SOT-23 Cu</v>
          </cell>
          <cell r="G878" t="str">
            <v>ConnX Elite</v>
          </cell>
          <cell r="I878">
            <v>2</v>
          </cell>
          <cell r="J878" t="str">
            <v>CU</v>
          </cell>
        </row>
        <row r="879">
          <cell r="B879" t="str">
            <v>SOD-923</v>
          </cell>
          <cell r="G879" t="str">
            <v>ConnX Elite</v>
          </cell>
          <cell r="I879">
            <v>1</v>
          </cell>
          <cell r="J879" t="str">
            <v>CU</v>
          </cell>
        </row>
        <row r="886">
          <cell r="B886" t="str">
            <v>SMAF-C</v>
          </cell>
          <cell r="G886" t="str">
            <v>Inliner_DCR</v>
          </cell>
          <cell r="I886">
            <v>1</v>
          </cell>
        </row>
        <row r="887">
          <cell r="B887" t="str">
            <v>SOD-123HE</v>
          </cell>
          <cell r="G887" t="str">
            <v>Inliner_DCR</v>
          </cell>
          <cell r="I887">
            <v>1</v>
          </cell>
        </row>
        <row r="888">
          <cell r="B888" t="str">
            <v>TO-277C</v>
          </cell>
          <cell r="G888" t="str">
            <v>Inliner_DCR</v>
          </cell>
          <cell r="I888">
            <v>1</v>
          </cell>
        </row>
        <row r="892">
          <cell r="B892" t="str">
            <v>DO-218AB</v>
          </cell>
          <cell r="G892" t="str">
            <v>AD838</v>
          </cell>
          <cell r="I892">
            <v>1</v>
          </cell>
        </row>
        <row r="893">
          <cell r="B893" t="str">
            <v>DO-218AC</v>
          </cell>
          <cell r="G893" t="str">
            <v>AD838</v>
          </cell>
          <cell r="I893">
            <v>1</v>
          </cell>
        </row>
        <row r="894">
          <cell r="B894" t="str">
            <v>DO-218AB</v>
          </cell>
          <cell r="G894" t="str">
            <v>AD838CA</v>
          </cell>
        </row>
        <row r="895">
          <cell r="B895" t="str">
            <v>DO-218AC</v>
          </cell>
          <cell r="G895" t="str">
            <v>AD838CA</v>
          </cell>
        </row>
        <row r="896">
          <cell r="B896" t="str">
            <v>SOD-123HE</v>
          </cell>
          <cell r="G896" t="str">
            <v>eClip(RO)</v>
          </cell>
        </row>
        <row r="897">
          <cell r="B897" t="str">
            <v>SOD-123HE</v>
          </cell>
          <cell r="G897" t="str">
            <v>RO832</v>
          </cell>
        </row>
        <row r="898">
          <cell r="B898" t="str">
            <v>SOD-123FL HD</v>
          </cell>
          <cell r="G898" t="str">
            <v>CB832</v>
          </cell>
        </row>
        <row r="899">
          <cell r="B899" t="str">
            <v>SOD-123FL HD</v>
          </cell>
          <cell r="G899" t="str">
            <v>RO832</v>
          </cell>
        </row>
        <row r="900">
          <cell r="B900" t="str">
            <v>TO-277C</v>
          </cell>
          <cell r="G900" t="str">
            <v>eClip(RO)</v>
          </cell>
        </row>
        <row r="901">
          <cell r="B901" t="str">
            <v>SMAF-C</v>
          </cell>
          <cell r="G901" t="str">
            <v>eClip(RO)</v>
          </cell>
        </row>
        <row r="904">
          <cell r="B904" t="str">
            <v>SOD-123FL HD</v>
          </cell>
          <cell r="G904" t="str">
            <v>Inliner_CR</v>
          </cell>
          <cell r="I904">
            <v>1</v>
          </cell>
        </row>
        <row r="913">
          <cell r="B913" t="str">
            <v>SOD-923</v>
          </cell>
          <cell r="G913" t="str">
            <v>IDEALmold 2G</v>
          </cell>
        </row>
        <row r="914">
          <cell r="B914" t="str">
            <v>SOT-563</v>
          </cell>
          <cell r="G914" t="str">
            <v>IDEALmold 2G</v>
          </cell>
        </row>
        <row r="915">
          <cell r="B915" t="str">
            <v>SOT-523</v>
          </cell>
          <cell r="G915" t="str">
            <v>IDEALmold 2G</v>
          </cell>
        </row>
        <row r="916">
          <cell r="B916" t="str">
            <v>SOT-563</v>
          </cell>
          <cell r="G916" t="str">
            <v>IDEALmold 2G</v>
          </cell>
        </row>
        <row r="917">
          <cell r="B917" t="str">
            <v>SOT-523</v>
          </cell>
          <cell r="G917" t="str">
            <v>IDEALmold 2G</v>
          </cell>
        </row>
        <row r="918">
          <cell r="B918" t="str">
            <v>SOD-123HE</v>
          </cell>
          <cell r="G918" t="str">
            <v>IDEALmold 3G</v>
          </cell>
        </row>
        <row r="919">
          <cell r="B919" t="str">
            <v>SOD-323HE</v>
          </cell>
          <cell r="G919" t="str">
            <v>IDEALmold 3G</v>
          </cell>
        </row>
        <row r="920">
          <cell r="B920" t="str">
            <v>TO-277C</v>
          </cell>
          <cell r="G920" t="str">
            <v>IDEALmold 3G</v>
          </cell>
        </row>
        <row r="921">
          <cell r="B921" t="str">
            <v>SOT-23 Cu</v>
          </cell>
          <cell r="G921" t="str">
            <v>IDEALmold 2G</v>
          </cell>
        </row>
        <row r="922">
          <cell r="B922" t="str">
            <v>SOT-23 Cu</v>
          </cell>
          <cell r="G922" t="str">
            <v>IDEALmold 2G</v>
          </cell>
        </row>
        <row r="923">
          <cell r="B923" t="str">
            <v>SOT23-6L</v>
          </cell>
          <cell r="G923" t="str">
            <v>IDEALmold 2G</v>
          </cell>
        </row>
        <row r="924">
          <cell r="B924" t="str">
            <v>SOD-123FL HD</v>
          </cell>
          <cell r="G924" t="str">
            <v>IDEALmold 3G</v>
          </cell>
        </row>
        <row r="925">
          <cell r="B925" t="str">
            <v>SOT-223</v>
          </cell>
          <cell r="G925" t="str">
            <v>IDEALmold 3G</v>
          </cell>
        </row>
        <row r="926">
          <cell r="B926" t="str">
            <v>SC-89</v>
          </cell>
          <cell r="G926" t="str">
            <v>IDEALmold 3G</v>
          </cell>
        </row>
        <row r="927">
          <cell r="B927" t="str">
            <v>SOT-523 HD</v>
          </cell>
          <cell r="G927" t="str">
            <v>IDEALmold 3G</v>
          </cell>
        </row>
        <row r="928">
          <cell r="B928" t="str">
            <v>SOT-563 HD</v>
          </cell>
          <cell r="G928" t="str">
            <v>IDEALmold 3G</v>
          </cell>
        </row>
        <row r="929">
          <cell r="B929" t="str">
            <v>SOT-323 HD</v>
          </cell>
          <cell r="G929" t="str">
            <v>IDEALmold 3G</v>
          </cell>
        </row>
        <row r="930">
          <cell r="B930" t="str">
            <v>SOD-323 HD</v>
          </cell>
          <cell r="G930" t="str">
            <v>IDEALmold 3G</v>
          </cell>
        </row>
        <row r="931">
          <cell r="B931" t="str">
            <v>SOD-123FL OP1</v>
          </cell>
          <cell r="G931" t="str">
            <v>IDEALmold 3G</v>
          </cell>
        </row>
        <row r="932">
          <cell r="B932" t="str">
            <v>SMAF-C</v>
          </cell>
          <cell r="G932" t="str">
            <v>IDEALmold 3G</v>
          </cell>
        </row>
        <row r="933">
          <cell r="B933" t="str">
            <v>SMBF</v>
          </cell>
          <cell r="G933" t="str">
            <v>IDEALmold 3G</v>
          </cell>
        </row>
        <row r="934">
          <cell r="B934" t="str">
            <v>SOT-363</v>
          </cell>
          <cell r="G934" t="str">
            <v>IDEALmold 3G</v>
          </cell>
        </row>
        <row r="935">
          <cell r="B935" t="str">
            <v>SOD-523</v>
          </cell>
          <cell r="G935" t="str">
            <v>IDEALmold 3G</v>
          </cell>
        </row>
        <row r="936">
          <cell r="B936" t="str">
            <v>SOD-123</v>
          </cell>
          <cell r="G936" t="str">
            <v>IDEALmold 3G</v>
          </cell>
        </row>
        <row r="937">
          <cell r="B937" t="str">
            <v>SOT-223</v>
          </cell>
          <cell r="G937" t="str">
            <v>IDEALmold 3G</v>
          </cell>
        </row>
        <row r="942">
          <cell r="B942" t="str">
            <v>DFN 2L</v>
          </cell>
          <cell r="G942" t="str">
            <v>ST-250T</v>
          </cell>
        </row>
        <row r="943">
          <cell r="B943" t="str">
            <v>DFN 3L</v>
          </cell>
          <cell r="G943" t="str">
            <v>ST-250T</v>
          </cell>
        </row>
        <row r="944">
          <cell r="B944" t="str">
            <v>DFN0603</v>
          </cell>
          <cell r="G944" t="str">
            <v>ST-250T</v>
          </cell>
        </row>
        <row r="945">
          <cell r="B945" t="str">
            <v>DFN2510-10L</v>
          </cell>
          <cell r="G945" t="str">
            <v>ST-250T</v>
          </cell>
        </row>
        <row r="946">
          <cell r="B946" t="str">
            <v>DO-218AB</v>
          </cell>
          <cell r="G946" t="str">
            <v>ST-250T</v>
          </cell>
        </row>
        <row r="947">
          <cell r="B947" t="str">
            <v>DO-218AC</v>
          </cell>
          <cell r="G947" t="str">
            <v>ST-250T</v>
          </cell>
        </row>
        <row r="948">
          <cell r="B948" t="str">
            <v>SMAF</v>
          </cell>
          <cell r="G948" t="str">
            <v>ST-250T</v>
          </cell>
        </row>
        <row r="949">
          <cell r="B949" t="str">
            <v>SMAF-C</v>
          </cell>
          <cell r="G949" t="str">
            <v>ST-250T</v>
          </cell>
        </row>
        <row r="950">
          <cell r="B950" t="str">
            <v>SMBF</v>
          </cell>
          <cell r="G950" t="str">
            <v>ST-250T</v>
          </cell>
        </row>
        <row r="951">
          <cell r="B951" t="str">
            <v>SOD-123FL OP1</v>
          </cell>
          <cell r="G951" t="str">
            <v>ST-250T</v>
          </cell>
        </row>
        <row r="952">
          <cell r="B952" t="str">
            <v>SOD-123HE</v>
          </cell>
          <cell r="G952" t="str">
            <v>ST-250T</v>
          </cell>
        </row>
        <row r="953">
          <cell r="B953" t="str">
            <v>SOD-323HE</v>
          </cell>
          <cell r="G953" t="str">
            <v>ST-250T</v>
          </cell>
        </row>
        <row r="954">
          <cell r="B954" t="str">
            <v>SOT-23 6L-1</v>
          </cell>
          <cell r="G954" t="str">
            <v>ST-250T</v>
          </cell>
        </row>
        <row r="955">
          <cell r="B955" t="str">
            <v>SOT-23 Cu</v>
          </cell>
          <cell r="G955" t="str">
            <v>ST-250T</v>
          </cell>
        </row>
        <row r="956">
          <cell r="B956" t="str">
            <v>SOT23-5L</v>
          </cell>
          <cell r="G956" t="str">
            <v>ST-250T</v>
          </cell>
        </row>
        <row r="957">
          <cell r="B957" t="str">
            <v>SOT23-6L</v>
          </cell>
          <cell r="G957" t="str">
            <v>ST-250T</v>
          </cell>
        </row>
        <row r="958">
          <cell r="B958" t="str">
            <v>SOT-363</v>
          </cell>
          <cell r="G958" t="str">
            <v>ST-250T</v>
          </cell>
        </row>
        <row r="959">
          <cell r="B959" t="str">
            <v>SOT-363 CU</v>
          </cell>
          <cell r="G959" t="str">
            <v>ST-250T</v>
          </cell>
        </row>
        <row r="960">
          <cell r="B960" t="str">
            <v>TDI</v>
          </cell>
          <cell r="G960" t="str">
            <v>ST-250T</v>
          </cell>
        </row>
        <row r="961">
          <cell r="B961" t="str">
            <v>TO-277 / 277B</v>
          </cell>
          <cell r="G961" t="str">
            <v>ST-250T</v>
          </cell>
        </row>
        <row r="966">
          <cell r="B966" t="str">
            <v>SOD-123</v>
          </cell>
          <cell r="G966" t="str">
            <v>ST-200T</v>
          </cell>
        </row>
        <row r="967">
          <cell r="B967" t="str">
            <v>SOD-123</v>
          </cell>
          <cell r="G967" t="str">
            <v>ST-250T</v>
          </cell>
        </row>
        <row r="968">
          <cell r="B968" t="str">
            <v>SOD-123FL</v>
          </cell>
          <cell r="G968" t="str">
            <v>ST-200T</v>
          </cell>
        </row>
        <row r="969">
          <cell r="B969" t="str">
            <v>SOD-123FL</v>
          </cell>
          <cell r="G969" t="str">
            <v>ST-250T</v>
          </cell>
        </row>
        <row r="970">
          <cell r="B970" t="str">
            <v>SOD-323</v>
          </cell>
          <cell r="G970" t="str">
            <v>ST-250T</v>
          </cell>
        </row>
        <row r="971">
          <cell r="B971" t="str">
            <v>SOD-323</v>
          </cell>
          <cell r="G971" t="str">
            <v>ST-200T</v>
          </cell>
        </row>
        <row r="972">
          <cell r="B972" t="str">
            <v>SOT-23</v>
          </cell>
          <cell r="G972" t="str">
            <v>ST-200T</v>
          </cell>
        </row>
        <row r="973">
          <cell r="B973" t="str">
            <v>SOT-23</v>
          </cell>
          <cell r="G973" t="str">
            <v>ST-250T</v>
          </cell>
        </row>
        <row r="974">
          <cell r="B974" t="str">
            <v>SOT-323</v>
          </cell>
          <cell r="G974" t="str">
            <v>ST-250T</v>
          </cell>
        </row>
        <row r="975">
          <cell r="B975" t="str">
            <v>SOT-323</v>
          </cell>
          <cell r="G975" t="str">
            <v>ST-200T</v>
          </cell>
        </row>
        <row r="980">
          <cell r="B980" t="str">
            <v>DFN 2L</v>
          </cell>
          <cell r="G980" t="str">
            <v>SO-A4-SN</v>
          </cell>
        </row>
        <row r="981">
          <cell r="B981" t="str">
            <v>DFN 3L</v>
          </cell>
          <cell r="G981" t="str">
            <v>SO-A4-SN</v>
          </cell>
        </row>
        <row r="982">
          <cell r="B982" t="str">
            <v>DFN0603</v>
          </cell>
          <cell r="G982" t="str">
            <v>SO-A4-SN</v>
          </cell>
        </row>
        <row r="983">
          <cell r="B983" t="str">
            <v>DFN2510-10L</v>
          </cell>
          <cell r="G983" t="str">
            <v>SO-A4-SN</v>
          </cell>
        </row>
        <row r="984">
          <cell r="B984" t="str">
            <v>DO-218AB</v>
          </cell>
          <cell r="G984" t="str">
            <v>SO-A4-SN</v>
          </cell>
        </row>
        <row r="985">
          <cell r="B985" t="str">
            <v>DO-218AC</v>
          </cell>
          <cell r="G985" t="str">
            <v>SO-A4-SN</v>
          </cell>
        </row>
        <row r="986">
          <cell r="B986" t="str">
            <v>SMAF</v>
          </cell>
          <cell r="G986" t="str">
            <v>SO-A4-SN</v>
          </cell>
        </row>
        <row r="987">
          <cell r="B987" t="str">
            <v>SMAF-C</v>
          </cell>
          <cell r="G987" t="str">
            <v>SO-A4-SN</v>
          </cell>
        </row>
        <row r="988">
          <cell r="B988" t="str">
            <v>SMBF</v>
          </cell>
          <cell r="G988" t="str">
            <v>SO-A4-SN</v>
          </cell>
        </row>
        <row r="989">
          <cell r="B989" t="str">
            <v>SOD-123</v>
          </cell>
          <cell r="G989" t="str">
            <v>SO-A4-SN</v>
          </cell>
        </row>
        <row r="990">
          <cell r="B990" t="str">
            <v>SOD-123FL HD</v>
          </cell>
          <cell r="G990" t="str">
            <v>SO-A4-SN</v>
          </cell>
        </row>
        <row r="991">
          <cell r="B991" t="str">
            <v>SOD-123FL OP1</v>
          </cell>
          <cell r="G991" t="str">
            <v>SO-A4-SN</v>
          </cell>
        </row>
        <row r="992">
          <cell r="B992" t="str">
            <v>SOD-123HE</v>
          </cell>
          <cell r="G992" t="str">
            <v>SO-A4-SN</v>
          </cell>
        </row>
        <row r="993">
          <cell r="B993" t="str">
            <v>SOD-323 HD</v>
          </cell>
          <cell r="G993" t="str">
            <v>SO-A4-SN</v>
          </cell>
        </row>
        <row r="994">
          <cell r="B994" t="str">
            <v>SOD-323HE</v>
          </cell>
          <cell r="G994" t="str">
            <v>SO-A4-SN</v>
          </cell>
        </row>
        <row r="995">
          <cell r="B995" t="str">
            <v>SOD-523</v>
          </cell>
          <cell r="G995" t="str">
            <v>SO-A4-SN</v>
          </cell>
        </row>
        <row r="996">
          <cell r="B996" t="str">
            <v>SOD-923</v>
          </cell>
          <cell r="G996" t="str">
            <v>SO-A4-SN</v>
          </cell>
        </row>
        <row r="997">
          <cell r="B997" t="str">
            <v>SOT-23 6L-1</v>
          </cell>
          <cell r="G997" t="str">
            <v>SO-A4-SN</v>
          </cell>
        </row>
        <row r="998">
          <cell r="B998" t="str">
            <v>SOT-223</v>
          </cell>
          <cell r="G998" t="str">
            <v>SO-A4-SN</v>
          </cell>
        </row>
        <row r="999">
          <cell r="B999" t="str">
            <v>SOT-23 Cu</v>
          </cell>
          <cell r="G999" t="str">
            <v>SO-A4-SN</v>
          </cell>
        </row>
        <row r="1000">
          <cell r="B1000" t="str">
            <v>SOT23-5L</v>
          </cell>
          <cell r="G1000" t="str">
            <v>SO-A4-SN</v>
          </cell>
        </row>
        <row r="1001">
          <cell r="B1001" t="str">
            <v>SOT23-6L</v>
          </cell>
          <cell r="G1001" t="str">
            <v>SO-A4-SN</v>
          </cell>
        </row>
        <row r="1002">
          <cell r="B1002" t="str">
            <v>SOT-323 HD</v>
          </cell>
          <cell r="G1002" t="str">
            <v>SO-A4-SN</v>
          </cell>
        </row>
        <row r="1003">
          <cell r="B1003" t="str">
            <v>SOT-363</v>
          </cell>
          <cell r="G1003" t="str">
            <v>SO-A4-SN</v>
          </cell>
        </row>
        <row r="1004">
          <cell r="B1004" t="str">
            <v>SOT-363 CU</v>
          </cell>
          <cell r="G1004" t="str">
            <v>SO-A4-SN</v>
          </cell>
        </row>
        <row r="1005">
          <cell r="B1005" t="str">
            <v>SOT-523</v>
          </cell>
          <cell r="G1005" t="str">
            <v>SO-A4-SN</v>
          </cell>
        </row>
        <row r="1006">
          <cell r="B1006" t="str">
            <v>SOT-523 HD</v>
          </cell>
          <cell r="G1006" t="str">
            <v>SO-A4-SN</v>
          </cell>
        </row>
        <row r="1007">
          <cell r="B1007" t="str">
            <v>SOT-563</v>
          </cell>
          <cell r="G1007" t="str">
            <v>SO-A4-SN</v>
          </cell>
        </row>
        <row r="1008">
          <cell r="B1008" t="str">
            <v>SOT-563 HD</v>
          </cell>
          <cell r="G1008" t="str">
            <v>SO-A4-SN</v>
          </cell>
        </row>
        <row r="1009">
          <cell r="B1009" t="str">
            <v>TDI</v>
          </cell>
          <cell r="G1009" t="str">
            <v>SO-A4-SN</v>
          </cell>
        </row>
        <row r="1010">
          <cell r="B1010" t="str">
            <v>TO-277 / 277B</v>
          </cell>
          <cell r="G1010" t="str">
            <v>SO-A4-SN</v>
          </cell>
        </row>
        <row r="1011">
          <cell r="B1011" t="str">
            <v>TO-277C</v>
          </cell>
          <cell r="G1011" t="str">
            <v>SO-A4-SN</v>
          </cell>
        </row>
        <row r="1016">
          <cell r="B1016" t="str">
            <v>SOD-123</v>
          </cell>
          <cell r="G1016" t="str">
            <v>SO-A4-SN</v>
          </cell>
        </row>
        <row r="1017">
          <cell r="B1017" t="str">
            <v>SOD-123FL</v>
          </cell>
          <cell r="G1017" t="str">
            <v>SO-A4-SN</v>
          </cell>
        </row>
        <row r="1018">
          <cell r="B1018" t="str">
            <v>SOD-323</v>
          </cell>
          <cell r="G1018" t="str">
            <v>SO-A4-SN</v>
          </cell>
        </row>
        <row r="1019">
          <cell r="B1019" t="str">
            <v>SOT-23</v>
          </cell>
          <cell r="G1019" t="str">
            <v>SO-A4-SN</v>
          </cell>
        </row>
        <row r="1020">
          <cell r="B1020" t="str">
            <v>SOT-323</v>
          </cell>
          <cell r="G1020" t="str">
            <v>SO-A4-SN</v>
          </cell>
        </row>
        <row r="1025">
          <cell r="B1025" t="str">
            <v>SOD-123HE</v>
          </cell>
          <cell r="G1025" t="str">
            <v>無型號</v>
          </cell>
        </row>
        <row r="1026">
          <cell r="B1026" t="str">
            <v>SOD-323HE</v>
          </cell>
          <cell r="G1026" t="str">
            <v>無型號</v>
          </cell>
        </row>
        <row r="1027">
          <cell r="B1027" t="str">
            <v>SOD-523</v>
          </cell>
          <cell r="G1027" t="str">
            <v>無型號</v>
          </cell>
        </row>
        <row r="1028">
          <cell r="B1028" t="str">
            <v>SOD-523</v>
          </cell>
          <cell r="G1028" t="str">
            <v>無型號</v>
          </cell>
        </row>
        <row r="1029">
          <cell r="B1029" t="str">
            <v>SOT-523</v>
          </cell>
          <cell r="G1029" t="str">
            <v>無型號</v>
          </cell>
        </row>
        <row r="1030">
          <cell r="B1030" t="str">
            <v>SOT-523</v>
          </cell>
          <cell r="G1030" t="str">
            <v>無型號</v>
          </cell>
        </row>
        <row r="1031">
          <cell r="B1031" t="str">
            <v>SOT-523</v>
          </cell>
          <cell r="G1031" t="str">
            <v>B080</v>
          </cell>
        </row>
        <row r="1032">
          <cell r="B1032" t="str">
            <v>SOT-563</v>
          </cell>
          <cell r="G1032" t="str">
            <v>無型號</v>
          </cell>
        </row>
        <row r="1033">
          <cell r="B1033" t="str">
            <v>SOT-563</v>
          </cell>
          <cell r="G1033" t="str">
            <v>無型號</v>
          </cell>
        </row>
        <row r="1034">
          <cell r="B1034" t="str">
            <v>SOT-563</v>
          </cell>
          <cell r="G1034" t="str">
            <v>B080</v>
          </cell>
        </row>
        <row r="1035">
          <cell r="B1035" t="str">
            <v>SOT-323 HD</v>
          </cell>
          <cell r="G1035" t="str">
            <v>B080</v>
          </cell>
        </row>
        <row r="1036">
          <cell r="B1036" t="str">
            <v>SOD-323 HD</v>
          </cell>
          <cell r="G1036" t="str">
            <v>B080</v>
          </cell>
        </row>
        <row r="1037">
          <cell r="B1037" t="str">
            <v>SC-89</v>
          </cell>
          <cell r="G1037" t="str">
            <v>B080</v>
          </cell>
        </row>
        <row r="1038">
          <cell r="B1038" t="str">
            <v>SOT-523 HD</v>
          </cell>
          <cell r="G1038" t="str">
            <v>B080</v>
          </cell>
        </row>
        <row r="1039">
          <cell r="B1039" t="str">
            <v>SOT-563 HD</v>
          </cell>
          <cell r="G1039" t="str">
            <v>B080</v>
          </cell>
        </row>
        <row r="1040">
          <cell r="B1040" t="str">
            <v>SOT-523 HD</v>
          </cell>
          <cell r="G1040" t="str">
            <v>2LDV-100</v>
          </cell>
        </row>
        <row r="1041">
          <cell r="B1041" t="str">
            <v>SOT-563 HD</v>
          </cell>
          <cell r="G1041" t="str">
            <v>2LDV-100</v>
          </cell>
        </row>
        <row r="1042">
          <cell r="B1042" t="str">
            <v>SOD-123FL HD</v>
          </cell>
          <cell r="G1042" t="str">
            <v>B080</v>
          </cell>
        </row>
        <row r="1043">
          <cell r="B1043" t="str">
            <v>SOD-923</v>
          </cell>
          <cell r="G1043" t="str">
            <v>無型號</v>
          </cell>
        </row>
        <row r="1044">
          <cell r="B1044" t="str">
            <v>SOT-23</v>
          </cell>
          <cell r="G1044" t="str">
            <v>B104-02</v>
          </cell>
        </row>
        <row r="1045">
          <cell r="B1045" t="str">
            <v>SOT-323</v>
          </cell>
          <cell r="G1045" t="str">
            <v>B104-02</v>
          </cell>
        </row>
        <row r="1046">
          <cell r="B1046" t="str">
            <v>SOD-123</v>
          </cell>
          <cell r="G1046" t="str">
            <v>B104-02</v>
          </cell>
        </row>
        <row r="1047">
          <cell r="B1047" t="str">
            <v>SOD-323</v>
          </cell>
          <cell r="G1047" t="str">
            <v>B104-02</v>
          </cell>
        </row>
        <row r="1048">
          <cell r="B1048" t="str">
            <v>SOT-223</v>
          </cell>
          <cell r="G1048" t="str">
            <v>B106-01</v>
          </cell>
        </row>
        <row r="1053">
          <cell r="B1053" t="str">
            <v>SOD-123HE</v>
          </cell>
          <cell r="G1053" t="str">
            <v>無型號</v>
          </cell>
        </row>
        <row r="1054">
          <cell r="B1054" t="str">
            <v>SOD-923</v>
          </cell>
          <cell r="G1054" t="str">
            <v>無型號</v>
          </cell>
        </row>
        <row r="1059">
          <cell r="B1059" t="str">
            <v>SMAF</v>
          </cell>
          <cell r="G1059" t="str">
            <v>無型號</v>
          </cell>
        </row>
        <row r="1060">
          <cell r="B1060" t="str">
            <v>SMAF</v>
          </cell>
          <cell r="G1060" t="str">
            <v>無型號</v>
          </cell>
        </row>
        <row r="1061">
          <cell r="B1061" t="str">
            <v>SMAF-C</v>
          </cell>
          <cell r="G1061" t="str">
            <v>無型號</v>
          </cell>
        </row>
        <row r="1062">
          <cell r="B1062" t="str">
            <v>SMAF-C</v>
          </cell>
          <cell r="G1062" t="str">
            <v>無型號</v>
          </cell>
        </row>
        <row r="1063">
          <cell r="B1063" t="str">
            <v>SMBF</v>
          </cell>
          <cell r="G1063" t="str">
            <v>無型號</v>
          </cell>
        </row>
        <row r="1064">
          <cell r="B1064" t="str">
            <v>SOD-123FL OP1</v>
          </cell>
          <cell r="G1064" t="str">
            <v>無型號</v>
          </cell>
        </row>
        <row r="1065">
          <cell r="B1065" t="str">
            <v>SOD-123HE</v>
          </cell>
          <cell r="G1065" t="str">
            <v>無型號</v>
          </cell>
        </row>
        <row r="1066">
          <cell r="B1066" t="str">
            <v>SOD-123HE</v>
          </cell>
          <cell r="G1066" t="str">
            <v>無型號</v>
          </cell>
        </row>
        <row r="1067">
          <cell r="B1067" t="str">
            <v>SOD-323HE</v>
          </cell>
          <cell r="G1067" t="str">
            <v>無型號</v>
          </cell>
        </row>
        <row r="1068">
          <cell r="B1068" t="str">
            <v>SOD-323HE</v>
          </cell>
          <cell r="G1068" t="str">
            <v>無型號</v>
          </cell>
        </row>
        <row r="1069">
          <cell r="B1069" t="str">
            <v>SOT-23 6L-1</v>
          </cell>
          <cell r="G1069" t="str">
            <v>無型號</v>
          </cell>
        </row>
        <row r="1070">
          <cell r="B1070" t="str">
            <v>SOT-23 Cu</v>
          </cell>
          <cell r="G1070" t="str">
            <v>MP209</v>
          </cell>
        </row>
        <row r="1071">
          <cell r="B1071" t="str">
            <v>SOT23-6L</v>
          </cell>
          <cell r="G1071" t="str">
            <v>MP-TAB</v>
          </cell>
        </row>
        <row r="1072">
          <cell r="B1072" t="str">
            <v>SOT-363</v>
          </cell>
          <cell r="G1072" t="str">
            <v>無型號</v>
          </cell>
        </row>
        <row r="1073">
          <cell r="B1073" t="str">
            <v>SOT-363</v>
          </cell>
          <cell r="G1073" t="str">
            <v>無型號</v>
          </cell>
        </row>
        <row r="1074">
          <cell r="B1074" t="str">
            <v>SOT-363 Cu</v>
          </cell>
          <cell r="G1074" t="str">
            <v>無型號</v>
          </cell>
        </row>
        <row r="1075">
          <cell r="B1075" t="str">
            <v>TDI</v>
          </cell>
          <cell r="G1075" t="str">
            <v>無型號</v>
          </cell>
        </row>
        <row r="1076">
          <cell r="B1076" t="str">
            <v>TO-277 / 277B</v>
          </cell>
          <cell r="G1076" t="str">
            <v>無型號</v>
          </cell>
        </row>
        <row r="1077">
          <cell r="B1077" t="str">
            <v>TO-277C</v>
          </cell>
          <cell r="G1077" t="str">
            <v>MP-TAB</v>
          </cell>
        </row>
        <row r="1083">
          <cell r="B1083" t="str">
            <v>SOD-123</v>
          </cell>
          <cell r="G1083" t="str">
            <v>KK 7.5T</v>
          </cell>
        </row>
        <row r="1084">
          <cell r="B1084" t="str">
            <v>SOD-123FL</v>
          </cell>
          <cell r="G1084" t="str">
            <v>KK 7.5T</v>
          </cell>
        </row>
        <row r="1085">
          <cell r="B1085" t="str">
            <v>SOD-323</v>
          </cell>
          <cell r="G1085" t="str">
            <v>KK 7.5T</v>
          </cell>
        </row>
        <row r="1086">
          <cell r="B1086" t="str">
            <v>SOT-23</v>
          </cell>
          <cell r="G1086" t="str">
            <v>無型號</v>
          </cell>
        </row>
        <row r="1087">
          <cell r="B1087" t="str">
            <v>SOT-323</v>
          </cell>
          <cell r="G1087" t="str">
            <v>無型號</v>
          </cell>
        </row>
        <row r="1092">
          <cell r="B1092" t="str">
            <v>SOD-123</v>
          </cell>
          <cell r="G1092" t="str">
            <v>無型號</v>
          </cell>
        </row>
        <row r="1093">
          <cell r="B1093" t="str">
            <v>SOD-323</v>
          </cell>
          <cell r="G1093" t="str">
            <v>無型號</v>
          </cell>
        </row>
        <row r="1094">
          <cell r="B1094" t="str">
            <v>SOD-523</v>
          </cell>
          <cell r="G1094" t="str">
            <v>無型號</v>
          </cell>
        </row>
        <row r="1095">
          <cell r="B1095" t="str">
            <v>SOD-923</v>
          </cell>
          <cell r="G1095" t="str">
            <v>無型號</v>
          </cell>
        </row>
        <row r="1096">
          <cell r="B1096" t="str">
            <v>SOT-23</v>
          </cell>
          <cell r="G1096" t="str">
            <v>無型號</v>
          </cell>
        </row>
        <row r="1097">
          <cell r="B1097" t="str">
            <v>SOT-23</v>
          </cell>
          <cell r="G1097" t="str">
            <v>無型號</v>
          </cell>
        </row>
        <row r="1098">
          <cell r="B1098" t="str">
            <v>SOT-23 Cu</v>
          </cell>
          <cell r="G1098" t="str">
            <v>無型號</v>
          </cell>
        </row>
        <row r="1099">
          <cell r="B1099" t="str">
            <v>SOT23-6L</v>
          </cell>
          <cell r="G1099" t="str">
            <v>無型號</v>
          </cell>
        </row>
        <row r="1100">
          <cell r="B1100" t="str">
            <v>SOT-23 6L-1</v>
          </cell>
          <cell r="G1100" t="str">
            <v>無型號</v>
          </cell>
        </row>
        <row r="1101">
          <cell r="B1101" t="str">
            <v>SOT-323</v>
          </cell>
          <cell r="G1101" t="str">
            <v>無型號</v>
          </cell>
        </row>
        <row r="1102">
          <cell r="B1102" t="str">
            <v>SOT-363</v>
          </cell>
          <cell r="G1102" t="str">
            <v>無型號</v>
          </cell>
        </row>
        <row r="1103">
          <cell r="B1103" t="str">
            <v>SOT-363 CU</v>
          </cell>
          <cell r="G1103" t="str">
            <v>無型號</v>
          </cell>
        </row>
        <row r="1104">
          <cell r="B1104" t="str">
            <v>SOT-523</v>
          </cell>
          <cell r="G1104" t="str">
            <v>無型號</v>
          </cell>
        </row>
        <row r="1105">
          <cell r="B1105" t="str">
            <v>SOT-563</v>
          </cell>
          <cell r="G1105" t="str">
            <v>無型號</v>
          </cell>
        </row>
        <row r="1106">
          <cell r="B1106" t="str">
            <v>SOD-323HE</v>
          </cell>
          <cell r="G1106" t="str">
            <v>無型號</v>
          </cell>
        </row>
        <row r="1107">
          <cell r="B1107" t="str">
            <v>TDI</v>
          </cell>
          <cell r="G1107" t="str">
            <v>無型號</v>
          </cell>
        </row>
        <row r="1108">
          <cell r="B1108" t="str">
            <v>SOD-123FL</v>
          </cell>
          <cell r="G1108" t="str">
            <v>無型號</v>
          </cell>
        </row>
        <row r="1109">
          <cell r="B1109" t="str">
            <v>SOD-123FL OP1</v>
          </cell>
          <cell r="G1109" t="str">
            <v>無型號</v>
          </cell>
        </row>
        <row r="1110">
          <cell r="B1110" t="str">
            <v>SOD-123HE</v>
          </cell>
          <cell r="G1110" t="str">
            <v>無型號</v>
          </cell>
        </row>
        <row r="1111">
          <cell r="B1111" t="str">
            <v>SMAF</v>
          </cell>
          <cell r="G1111" t="str">
            <v>無型號</v>
          </cell>
        </row>
        <row r="1112">
          <cell r="B1112" t="str">
            <v>SMAF-C</v>
          </cell>
          <cell r="G1112" t="str">
            <v>無型號</v>
          </cell>
        </row>
        <row r="1113">
          <cell r="B1113" t="str">
            <v>SMBF</v>
          </cell>
          <cell r="G1113" t="str">
            <v>無型號</v>
          </cell>
        </row>
        <row r="1114">
          <cell r="B1114" t="str">
            <v>DO-218AC</v>
          </cell>
          <cell r="G1114" t="str">
            <v>無型號</v>
          </cell>
        </row>
        <row r="1115">
          <cell r="B1115" t="str">
            <v>TO-277 / 277B</v>
          </cell>
          <cell r="G1115" t="str">
            <v>無型號</v>
          </cell>
        </row>
        <row r="1119">
          <cell r="B1119" t="str">
            <v>SOD-123</v>
          </cell>
          <cell r="G1119" t="str">
            <v>無型號</v>
          </cell>
        </row>
        <row r="1120">
          <cell r="B1120" t="str">
            <v>SOD-323</v>
          </cell>
          <cell r="G1120" t="str">
            <v>無型號</v>
          </cell>
        </row>
        <row r="1121">
          <cell r="B1121" t="str">
            <v>SOD-523</v>
          </cell>
          <cell r="G1121" t="str">
            <v>無型號</v>
          </cell>
        </row>
        <row r="1122">
          <cell r="B1122" t="str">
            <v>SOD-923</v>
          </cell>
          <cell r="G1122" t="str">
            <v>無型號</v>
          </cell>
        </row>
        <row r="1123">
          <cell r="B1123" t="str">
            <v>SOT-23</v>
          </cell>
          <cell r="G1123" t="str">
            <v>無型號</v>
          </cell>
        </row>
        <row r="1124">
          <cell r="B1124" t="str">
            <v>SOT-23 Cu</v>
          </cell>
          <cell r="G1124" t="str">
            <v>無型號</v>
          </cell>
        </row>
        <row r="1125">
          <cell r="B1125" t="str">
            <v>SOT23-6L</v>
          </cell>
          <cell r="G1125" t="str">
            <v>無型號</v>
          </cell>
        </row>
        <row r="1126">
          <cell r="B1126" t="str">
            <v>SOT-23 6L-1</v>
          </cell>
          <cell r="G1126" t="str">
            <v>無型號</v>
          </cell>
        </row>
        <row r="1127">
          <cell r="B1127" t="str">
            <v>SOT-323</v>
          </cell>
          <cell r="G1127" t="str">
            <v>無型號</v>
          </cell>
        </row>
        <row r="1128">
          <cell r="B1128" t="str">
            <v>SOT-363</v>
          </cell>
          <cell r="G1128" t="str">
            <v>無型號</v>
          </cell>
        </row>
        <row r="1129">
          <cell r="B1129" t="str">
            <v>SOT-363 CU</v>
          </cell>
          <cell r="G1129" t="str">
            <v>無型號</v>
          </cell>
        </row>
        <row r="1130">
          <cell r="B1130" t="str">
            <v>SOT-523</v>
          </cell>
          <cell r="G1130" t="str">
            <v>無型號</v>
          </cell>
        </row>
        <row r="1131">
          <cell r="B1131" t="str">
            <v>SOT-563</v>
          </cell>
          <cell r="G1131" t="str">
            <v>無型號</v>
          </cell>
        </row>
        <row r="1132">
          <cell r="B1132" t="str">
            <v>SOD-323HE</v>
          </cell>
          <cell r="G1132" t="str">
            <v>無型號</v>
          </cell>
        </row>
        <row r="1133">
          <cell r="B1133" t="str">
            <v>TDI</v>
          </cell>
          <cell r="G1133" t="str">
            <v>無型號</v>
          </cell>
        </row>
        <row r="1134">
          <cell r="B1134" t="str">
            <v>SOD-123FL</v>
          </cell>
          <cell r="G1134" t="str">
            <v>無型號</v>
          </cell>
        </row>
        <row r="1135">
          <cell r="B1135" t="str">
            <v>SOD-123FL OP1</v>
          </cell>
          <cell r="G1135" t="str">
            <v>無型號</v>
          </cell>
        </row>
        <row r="1136">
          <cell r="B1136" t="str">
            <v>SOD-123HE</v>
          </cell>
          <cell r="G1136" t="str">
            <v>無型號</v>
          </cell>
        </row>
        <row r="1137">
          <cell r="B1137" t="str">
            <v>SMAF</v>
          </cell>
          <cell r="G1137" t="str">
            <v>無型號</v>
          </cell>
        </row>
        <row r="1138">
          <cell r="B1138" t="str">
            <v>SMAF-C</v>
          </cell>
          <cell r="G1138" t="str">
            <v>無型號</v>
          </cell>
        </row>
        <row r="1139">
          <cell r="B1139" t="str">
            <v>SMBF</v>
          </cell>
          <cell r="G1139" t="str">
            <v>無型號</v>
          </cell>
        </row>
        <row r="1140">
          <cell r="B1140" t="str">
            <v>DO-218AC</v>
          </cell>
          <cell r="G1140" t="str">
            <v>無型號</v>
          </cell>
        </row>
        <row r="1141">
          <cell r="B1141" t="str">
            <v>TO-277 / 277B</v>
          </cell>
          <cell r="G1141" t="str">
            <v>無型號</v>
          </cell>
        </row>
        <row r="1146">
          <cell r="B1146" t="str">
            <v>TO-277C</v>
          </cell>
          <cell r="G1146" t="str">
            <v>無型號</v>
          </cell>
        </row>
        <row r="1147">
          <cell r="B1147" t="str">
            <v>TO-277 / 277B</v>
          </cell>
          <cell r="G1147" t="str">
            <v>無型號</v>
          </cell>
        </row>
        <row r="1148">
          <cell r="B1148" t="str">
            <v>SOT-23 Cu</v>
          </cell>
          <cell r="G1148" t="str">
            <v>無型號</v>
          </cell>
        </row>
        <row r="1149">
          <cell r="B1149" t="str">
            <v>SOT23-6L</v>
          </cell>
          <cell r="G1149" t="str">
            <v>無型號</v>
          </cell>
        </row>
        <row r="1150">
          <cell r="B1150" t="str">
            <v>SOT-23 6L-1</v>
          </cell>
          <cell r="G1150" t="str">
            <v>無型號</v>
          </cell>
        </row>
        <row r="1151">
          <cell r="B1151" t="str">
            <v>TDI</v>
          </cell>
          <cell r="G1151" t="str">
            <v>無型號</v>
          </cell>
        </row>
        <row r="1152">
          <cell r="B1152" t="str">
            <v>SMAF</v>
          </cell>
          <cell r="G1152" t="str">
            <v>無型號</v>
          </cell>
        </row>
        <row r="1153">
          <cell r="B1153" t="str">
            <v>SMAF-C</v>
          </cell>
          <cell r="G1153" t="str">
            <v>無型號</v>
          </cell>
        </row>
        <row r="1154">
          <cell r="B1154" t="str">
            <v>SMBF</v>
          </cell>
          <cell r="G1154" t="str">
            <v>無型號</v>
          </cell>
        </row>
        <row r="1155">
          <cell r="B1155" t="str">
            <v>SOD-123FL</v>
          </cell>
          <cell r="G1155" t="str">
            <v>無型號</v>
          </cell>
        </row>
        <row r="1156">
          <cell r="B1156" t="str">
            <v>SOD-123FL OP1</v>
          </cell>
          <cell r="G1156" t="str">
            <v>無型號</v>
          </cell>
        </row>
        <row r="1157">
          <cell r="B1157" t="str">
            <v>SOD-123FL HD</v>
          </cell>
          <cell r="G1157" t="str">
            <v>無型號</v>
          </cell>
        </row>
        <row r="1158">
          <cell r="B1158" t="str">
            <v>SOT-523 HD</v>
          </cell>
          <cell r="G1158" t="str">
            <v>無型號</v>
          </cell>
        </row>
        <row r="1159">
          <cell r="B1159" t="str">
            <v>SOT-563 HD</v>
          </cell>
          <cell r="G1159" t="str">
            <v>無型號</v>
          </cell>
        </row>
        <row r="1164">
          <cell r="B1164" t="str">
            <v>TO-277C</v>
          </cell>
          <cell r="G1164" t="str">
            <v>無型號</v>
          </cell>
        </row>
        <row r="1165">
          <cell r="B1165" t="str">
            <v>TO-277 / 277B</v>
          </cell>
          <cell r="G1165" t="str">
            <v>無型號</v>
          </cell>
        </row>
        <row r="1166">
          <cell r="B1166" t="str">
            <v>SOT-23</v>
          </cell>
          <cell r="G1166" t="str">
            <v>無型號</v>
          </cell>
        </row>
        <row r="1167">
          <cell r="B1167" t="str">
            <v>SOT-23 Cu</v>
          </cell>
          <cell r="G1167" t="str">
            <v>無型號</v>
          </cell>
        </row>
        <row r="1168">
          <cell r="B1168" t="str">
            <v>SOT23-6L</v>
          </cell>
          <cell r="G1168" t="str">
            <v>無型號</v>
          </cell>
        </row>
        <row r="1169">
          <cell r="B1169" t="str">
            <v>SOT-23 6L-1</v>
          </cell>
          <cell r="G1169" t="str">
            <v>無型號</v>
          </cell>
        </row>
        <row r="1170">
          <cell r="B1170" t="str">
            <v>SMAF</v>
          </cell>
          <cell r="G1170" t="str">
            <v>無型號</v>
          </cell>
        </row>
        <row r="1171">
          <cell r="B1171" t="str">
            <v>SMAF-C</v>
          </cell>
          <cell r="G1171" t="str">
            <v>無型號</v>
          </cell>
        </row>
        <row r="1172">
          <cell r="B1172" t="str">
            <v>SMBF</v>
          </cell>
          <cell r="G1172" t="str">
            <v>無型號</v>
          </cell>
        </row>
        <row r="1173">
          <cell r="B1173" t="str">
            <v>SOT-523 HD</v>
          </cell>
          <cell r="G1173" t="str">
            <v>無型號</v>
          </cell>
        </row>
        <row r="1174">
          <cell r="B1174" t="str">
            <v>SOT-563 HD</v>
          </cell>
          <cell r="G1174" t="str">
            <v>無型號</v>
          </cell>
        </row>
        <row r="1179">
          <cell r="B1179" t="str">
            <v>SOT-523 HD</v>
          </cell>
          <cell r="G1179" t="str">
            <v>MWH-900</v>
          </cell>
        </row>
        <row r="1180">
          <cell r="B1180" t="str">
            <v>SC-89</v>
          </cell>
          <cell r="G1180" t="str">
            <v>MWH-900</v>
          </cell>
        </row>
        <row r="1181">
          <cell r="B1181" t="str">
            <v>SOT-563 HD</v>
          </cell>
          <cell r="G1181" t="str">
            <v>MWH-900</v>
          </cell>
        </row>
        <row r="1182">
          <cell r="B1182" t="str">
            <v>SOT-323 HD</v>
          </cell>
          <cell r="G1182" t="str">
            <v>MWH-900</v>
          </cell>
        </row>
        <row r="1183">
          <cell r="B1183" t="str">
            <v>SOD-323 HD</v>
          </cell>
          <cell r="G1183" t="str">
            <v>MWH-900</v>
          </cell>
        </row>
        <row r="1184">
          <cell r="B1184" t="str">
            <v>SOT-223</v>
          </cell>
          <cell r="G1184" t="str">
            <v>MWH-900</v>
          </cell>
        </row>
        <row r="1185">
          <cell r="B1185" t="str">
            <v>SOT-523</v>
          </cell>
          <cell r="G1185" t="str">
            <v>MWH-900</v>
          </cell>
        </row>
        <row r="1186">
          <cell r="B1186" t="str">
            <v>TDI</v>
          </cell>
          <cell r="G1186" t="str">
            <v>MWH-900</v>
          </cell>
        </row>
        <row r="1187">
          <cell r="B1187" t="str">
            <v>TO-277 / 277B</v>
          </cell>
          <cell r="G1187" t="str">
            <v>MWH-900</v>
          </cell>
        </row>
        <row r="1188">
          <cell r="B1188" t="str">
            <v>TO-277C</v>
          </cell>
          <cell r="G1188" t="str">
            <v>MWH-900</v>
          </cell>
        </row>
        <row r="1189">
          <cell r="B1189" t="str">
            <v>SOD-123FL</v>
          </cell>
          <cell r="G1189" t="str">
            <v>MWH-900</v>
          </cell>
        </row>
        <row r="1190">
          <cell r="B1190" t="str">
            <v>SOD-123FL OP1</v>
          </cell>
          <cell r="G1190" t="str">
            <v>MWH-900</v>
          </cell>
        </row>
        <row r="1191">
          <cell r="B1191" t="str">
            <v>SOD-123FL HD</v>
          </cell>
          <cell r="G1191" t="str">
            <v>MWH-900</v>
          </cell>
        </row>
        <row r="1192">
          <cell r="B1192" t="str">
            <v>SMAF</v>
          </cell>
          <cell r="G1192" t="str">
            <v>MWH-900</v>
          </cell>
        </row>
        <row r="1193">
          <cell r="B1193" t="str">
            <v>SMAF-C</v>
          </cell>
          <cell r="G1193" t="str">
            <v>MWH-900</v>
          </cell>
        </row>
        <row r="1194">
          <cell r="B1194" t="str">
            <v>SMBF</v>
          </cell>
          <cell r="G1194" t="str">
            <v>MWH-900</v>
          </cell>
        </row>
        <row r="1195">
          <cell r="B1195" t="str">
            <v>SOT-23</v>
          </cell>
          <cell r="G1195" t="str">
            <v>MWH-900</v>
          </cell>
        </row>
        <row r="1196">
          <cell r="B1196" t="str">
            <v>SOT-523</v>
          </cell>
          <cell r="G1196" t="str">
            <v>MWH-900</v>
          </cell>
        </row>
        <row r="1197">
          <cell r="B1197" t="str">
            <v>SOT-563</v>
          </cell>
          <cell r="G1197" t="str">
            <v>MWH-900</v>
          </cell>
        </row>
        <row r="1198">
          <cell r="B1198" t="str">
            <v>SOT-23 Cu</v>
          </cell>
          <cell r="G1198" t="str">
            <v>MWH-900</v>
          </cell>
        </row>
        <row r="1199">
          <cell r="B1199" t="str">
            <v>SOT23-6L</v>
          </cell>
          <cell r="G1199" t="str">
            <v>MWH-900</v>
          </cell>
        </row>
        <row r="1200">
          <cell r="B1200" t="str">
            <v>SOT-23 6L-1</v>
          </cell>
          <cell r="G1200" t="str">
            <v>MWH-900</v>
          </cell>
        </row>
        <row r="1201">
          <cell r="B1201" t="str">
            <v>SOT-323</v>
          </cell>
          <cell r="G1201" t="str">
            <v>MWH-900</v>
          </cell>
        </row>
        <row r="1202">
          <cell r="B1202" t="str">
            <v>SOT-363 CU</v>
          </cell>
          <cell r="G1202" t="str">
            <v>MWH-900</v>
          </cell>
        </row>
        <row r="1203">
          <cell r="B1203" t="str">
            <v>SOD-123</v>
          </cell>
          <cell r="G1203" t="str">
            <v>MWH-900</v>
          </cell>
        </row>
        <row r="1204">
          <cell r="B1204" t="str">
            <v>SOD-323</v>
          </cell>
          <cell r="G1204" t="str">
            <v>MWH-900</v>
          </cell>
        </row>
        <row r="1205">
          <cell r="B1205" t="str">
            <v>SOD-523</v>
          </cell>
          <cell r="G1205" t="str">
            <v>MWH-900</v>
          </cell>
        </row>
        <row r="1206">
          <cell r="B1206" t="str">
            <v>SOD-923</v>
          </cell>
          <cell r="G1206" t="str">
            <v>MWH-900</v>
          </cell>
        </row>
        <row r="1207">
          <cell r="B1207" t="str">
            <v>SOD-123HE</v>
          </cell>
          <cell r="G1207" t="str">
            <v>MWH-900</v>
          </cell>
        </row>
        <row r="1208">
          <cell r="B1208" t="str">
            <v>SOD-323HE</v>
          </cell>
          <cell r="G1208" t="str">
            <v>MWH-900</v>
          </cell>
        </row>
        <row r="1213">
          <cell r="B1213" t="str">
            <v>SOD-323</v>
          </cell>
          <cell r="G1213" t="str">
            <v>無型號</v>
          </cell>
        </row>
        <row r="1214">
          <cell r="B1214" t="str">
            <v>SOD-323</v>
          </cell>
          <cell r="G1214" t="str">
            <v>無型號</v>
          </cell>
        </row>
        <row r="1215">
          <cell r="B1215" t="str">
            <v>SOD-323</v>
          </cell>
          <cell r="G1215" t="str">
            <v>無型號</v>
          </cell>
        </row>
        <row r="1216">
          <cell r="B1216" t="str">
            <v>SOD-123</v>
          </cell>
          <cell r="G1216" t="str">
            <v>無型號</v>
          </cell>
        </row>
        <row r="1217">
          <cell r="B1217" t="str">
            <v>SOD-123HE</v>
          </cell>
          <cell r="G1217" t="str">
            <v>無型號</v>
          </cell>
        </row>
        <row r="1218">
          <cell r="B1218" t="str">
            <v>SOD-123FL</v>
          </cell>
          <cell r="G1218" t="str">
            <v>無型號</v>
          </cell>
        </row>
        <row r="1219">
          <cell r="B1219" t="str">
            <v>SOD-123FL OP1</v>
          </cell>
          <cell r="G1219" t="str">
            <v>無型號</v>
          </cell>
        </row>
        <row r="1220">
          <cell r="B1220" t="str">
            <v>SOD-323HE</v>
          </cell>
          <cell r="G1220" t="str">
            <v>無型號</v>
          </cell>
        </row>
        <row r="1221">
          <cell r="B1221" t="str">
            <v>SOT-23 Cu</v>
          </cell>
          <cell r="G1221" t="str">
            <v>無型號</v>
          </cell>
        </row>
        <row r="1222">
          <cell r="B1222" t="str">
            <v>SOT-23</v>
          </cell>
          <cell r="G1222" t="str">
            <v>無型號</v>
          </cell>
        </row>
        <row r="1223">
          <cell r="B1223" t="str">
            <v>SOT23-6L</v>
          </cell>
          <cell r="G1223" t="str">
            <v>無型號</v>
          </cell>
        </row>
        <row r="1224">
          <cell r="B1224" t="str">
            <v>SOT-323</v>
          </cell>
          <cell r="G1224" t="str">
            <v>無型號</v>
          </cell>
        </row>
        <row r="1225">
          <cell r="B1225" t="str">
            <v>SOT-363</v>
          </cell>
          <cell r="G1225" t="str">
            <v>無型號</v>
          </cell>
        </row>
        <row r="1226">
          <cell r="B1226" t="str">
            <v>SOT-363</v>
          </cell>
          <cell r="G1226" t="str">
            <v>無型號</v>
          </cell>
        </row>
        <row r="1227">
          <cell r="B1227" t="str">
            <v>SOT-363 CU</v>
          </cell>
          <cell r="G1227" t="str">
            <v>無型號</v>
          </cell>
        </row>
        <row r="1228">
          <cell r="B1228" t="str">
            <v>SOT-363 CU</v>
          </cell>
          <cell r="G1228" t="str">
            <v>無型號</v>
          </cell>
        </row>
        <row r="1229">
          <cell r="B1229" t="str">
            <v>SOD-923</v>
          </cell>
          <cell r="G1229" t="str">
            <v>無型號</v>
          </cell>
        </row>
        <row r="1230">
          <cell r="B1230" t="str">
            <v>SOD-523</v>
          </cell>
          <cell r="G1230" t="str">
            <v>無型號</v>
          </cell>
        </row>
        <row r="1231">
          <cell r="B1231" t="str">
            <v>TDI</v>
          </cell>
          <cell r="G1231" t="str">
            <v>無型號</v>
          </cell>
        </row>
        <row r="1232">
          <cell r="B1232" t="str">
            <v>SOT-523</v>
          </cell>
          <cell r="G1232" t="str">
            <v>無型號</v>
          </cell>
        </row>
        <row r="1233">
          <cell r="B1233" t="str">
            <v>SOT-563</v>
          </cell>
          <cell r="G1233" t="str">
            <v>無型號</v>
          </cell>
        </row>
        <row r="1234">
          <cell r="B1234" t="str">
            <v>SOT-523</v>
          </cell>
          <cell r="G1234" t="str">
            <v>無型號</v>
          </cell>
        </row>
        <row r="1235">
          <cell r="B1235" t="str">
            <v>SOT-563</v>
          </cell>
          <cell r="G1235" t="str">
            <v>無型號</v>
          </cell>
        </row>
        <row r="1236">
          <cell r="B1236" t="str">
            <v>SOD-123FL HD</v>
          </cell>
          <cell r="G1236" t="str">
            <v>B079</v>
          </cell>
        </row>
        <row r="1237">
          <cell r="B1237" t="str">
            <v>SC-89</v>
          </cell>
          <cell r="G1237" t="str">
            <v>B079</v>
          </cell>
        </row>
        <row r="1238">
          <cell r="B1238" t="str">
            <v>SOT-523 HD</v>
          </cell>
          <cell r="G1238" t="str">
            <v>B079</v>
          </cell>
        </row>
        <row r="1239">
          <cell r="B1239" t="str">
            <v>SOT-563 HD</v>
          </cell>
          <cell r="G1239" t="str">
            <v>B079</v>
          </cell>
        </row>
        <row r="1240">
          <cell r="B1240" t="str">
            <v>SOT-323 HD</v>
          </cell>
          <cell r="G1240" t="str">
            <v>B079</v>
          </cell>
        </row>
        <row r="1241">
          <cell r="B1241" t="str">
            <v>SOD-323 HD</v>
          </cell>
          <cell r="G1241" t="str">
            <v>B079</v>
          </cell>
        </row>
        <row r="1246">
          <cell r="B1246" t="str">
            <v>SOD-123</v>
          </cell>
          <cell r="G1246" t="str">
            <v>無型號</v>
          </cell>
        </row>
        <row r="1247">
          <cell r="B1247" t="str">
            <v>SOD-123FL OP1</v>
          </cell>
          <cell r="G1247" t="str">
            <v>無型號</v>
          </cell>
        </row>
        <row r="1248">
          <cell r="B1248" t="str">
            <v>SOD-123HE</v>
          </cell>
          <cell r="G1248" t="str">
            <v>無型號</v>
          </cell>
        </row>
        <row r="1249">
          <cell r="B1249" t="str">
            <v>SOT-23 Cu</v>
          </cell>
          <cell r="G1249" t="str">
            <v>無型號</v>
          </cell>
        </row>
        <row r="1250">
          <cell r="B1250" t="str">
            <v>SOD-523</v>
          </cell>
          <cell r="G1250" t="str">
            <v>無型號</v>
          </cell>
        </row>
        <row r="1251">
          <cell r="B1251" t="str">
            <v>TO-277 / 277B</v>
          </cell>
          <cell r="G1251" t="str">
            <v>無型號</v>
          </cell>
        </row>
        <row r="1252">
          <cell r="B1252" t="str">
            <v>SOT-23 6L-1</v>
          </cell>
          <cell r="G1252" t="str">
            <v>無型號</v>
          </cell>
        </row>
        <row r="1253">
          <cell r="B1253" t="str">
            <v>DFN0603</v>
          </cell>
          <cell r="G1253" t="str">
            <v>無型號</v>
          </cell>
        </row>
        <row r="1254">
          <cell r="B1254" t="str">
            <v>DFN 2L</v>
          </cell>
          <cell r="G1254" t="str">
            <v>無型號</v>
          </cell>
        </row>
        <row r="1255">
          <cell r="B1255" t="str">
            <v>DFN 3L</v>
          </cell>
          <cell r="G1255" t="str">
            <v>無型號</v>
          </cell>
        </row>
        <row r="1256">
          <cell r="B1256" t="str">
            <v>DFN2510-10L</v>
          </cell>
          <cell r="G1256" t="str">
            <v>無型號</v>
          </cell>
        </row>
        <row r="1261">
          <cell r="B1261" t="str">
            <v>DFN0603</v>
          </cell>
          <cell r="G1261" t="str">
            <v>DAD3350</v>
          </cell>
        </row>
        <row r="1262">
          <cell r="B1262" t="str">
            <v>DFN2510-10L</v>
          </cell>
          <cell r="G1262" t="str">
            <v>DAD3350</v>
          </cell>
        </row>
        <row r="1263">
          <cell r="B1263" t="str">
            <v>DFN 2L</v>
          </cell>
          <cell r="G1263" t="str">
            <v>DAD3350</v>
          </cell>
        </row>
        <row r="1264">
          <cell r="B1264" t="str">
            <v>DFN 3L</v>
          </cell>
          <cell r="G1264" t="str">
            <v>DAD3350</v>
          </cell>
        </row>
        <row r="1265">
          <cell r="B1265" t="str">
            <v>DFN1006-3L</v>
          </cell>
          <cell r="G1265" t="str">
            <v>DAD3350</v>
          </cell>
        </row>
        <row r="1266">
          <cell r="B1266" t="str">
            <v>DFN5515-14L</v>
          </cell>
          <cell r="G1266" t="str">
            <v>DAD3350</v>
          </cell>
        </row>
        <row r="1271">
          <cell r="B1271" t="str">
            <v>SOD-123</v>
          </cell>
          <cell r="G1271" t="str">
            <v>MP209</v>
          </cell>
        </row>
        <row r="1272">
          <cell r="B1272" t="str">
            <v>SOD-123</v>
          </cell>
          <cell r="G1272" t="str">
            <v>無型號</v>
          </cell>
        </row>
        <row r="1273">
          <cell r="B1273" t="str">
            <v>SOD-123</v>
          </cell>
          <cell r="G1273" t="str">
            <v>TSP-03</v>
          </cell>
        </row>
        <row r="1274">
          <cell r="B1274" t="str">
            <v>SOD-123FL</v>
          </cell>
          <cell r="G1274" t="str">
            <v>無型號</v>
          </cell>
        </row>
        <row r="1275">
          <cell r="B1275" t="str">
            <v>SOD-123FL OP1</v>
          </cell>
          <cell r="G1275" t="str">
            <v>無型號</v>
          </cell>
        </row>
        <row r="1276">
          <cell r="B1276" t="str">
            <v>SOD-123FL HD</v>
          </cell>
          <cell r="G1276" t="str">
            <v>MPHENIX</v>
          </cell>
        </row>
        <row r="1277">
          <cell r="B1277" t="str">
            <v>SOD-123HE</v>
          </cell>
          <cell r="G1277" t="str">
            <v>無型號</v>
          </cell>
        </row>
        <row r="1278">
          <cell r="B1278" t="str">
            <v>SOD-323HE</v>
          </cell>
          <cell r="G1278" t="str">
            <v>無型號</v>
          </cell>
        </row>
        <row r="1279">
          <cell r="B1279" t="str">
            <v>SOD-123HE</v>
          </cell>
          <cell r="G1279" t="str">
            <v>無型號</v>
          </cell>
        </row>
        <row r="1280">
          <cell r="B1280" t="str">
            <v>SOD-323HE</v>
          </cell>
          <cell r="G1280" t="str">
            <v>無型號</v>
          </cell>
        </row>
        <row r="1281">
          <cell r="B1281" t="str">
            <v>SOD-323</v>
          </cell>
          <cell r="G1281" t="str">
            <v>無型號</v>
          </cell>
        </row>
        <row r="1282">
          <cell r="B1282" t="str">
            <v>SOD-523</v>
          </cell>
          <cell r="G1282" t="str">
            <v>無型號</v>
          </cell>
        </row>
        <row r="1283">
          <cell r="B1283" t="str">
            <v>SOD-923</v>
          </cell>
          <cell r="G1283" t="str">
            <v>無型號</v>
          </cell>
        </row>
        <row r="1284">
          <cell r="B1284" t="str">
            <v>SOT-23</v>
          </cell>
          <cell r="G1284" t="str">
            <v>MP209</v>
          </cell>
        </row>
        <row r="1285">
          <cell r="B1285" t="str">
            <v>SOT-23</v>
          </cell>
          <cell r="G1285" t="str">
            <v>MPHENIX</v>
          </cell>
        </row>
        <row r="1286">
          <cell r="B1286" t="str">
            <v>SOT-23 Cu</v>
          </cell>
          <cell r="G1286" t="str">
            <v>MP209</v>
          </cell>
        </row>
        <row r="1287">
          <cell r="B1287" t="str">
            <v>SOT23-6L</v>
          </cell>
          <cell r="G1287" t="str">
            <v>MP209</v>
          </cell>
        </row>
        <row r="1288">
          <cell r="B1288" t="str">
            <v>SOT-23 6L-1</v>
          </cell>
          <cell r="G1288" t="str">
            <v>無型號</v>
          </cell>
        </row>
        <row r="1289">
          <cell r="B1289" t="str">
            <v>SOT-323</v>
          </cell>
          <cell r="G1289" t="str">
            <v>MP209</v>
          </cell>
        </row>
        <row r="1290">
          <cell r="B1290" t="str">
            <v>SOT-323</v>
          </cell>
          <cell r="G1290" t="str">
            <v>MPHENIX</v>
          </cell>
        </row>
        <row r="1291">
          <cell r="B1291" t="str">
            <v>SOT-323</v>
          </cell>
          <cell r="G1291" t="str">
            <v>無型號</v>
          </cell>
        </row>
        <row r="1292">
          <cell r="B1292" t="str">
            <v>SOT-363</v>
          </cell>
          <cell r="G1292" t="str">
            <v>無型號</v>
          </cell>
        </row>
        <row r="1293">
          <cell r="B1293" t="str">
            <v>SOT-363 CU</v>
          </cell>
          <cell r="G1293" t="str">
            <v>無型號</v>
          </cell>
        </row>
        <row r="1294">
          <cell r="B1294" t="str">
            <v>SOT-523</v>
          </cell>
          <cell r="G1294" t="str">
            <v>MP209</v>
          </cell>
        </row>
        <row r="1295">
          <cell r="B1295" t="str">
            <v>SOT-563</v>
          </cell>
          <cell r="G1295" t="str">
            <v>MP209</v>
          </cell>
        </row>
        <row r="1296">
          <cell r="B1296" t="str">
            <v>SC-89</v>
          </cell>
          <cell r="G1296" t="str">
            <v>MP-TAB</v>
          </cell>
        </row>
        <row r="1297">
          <cell r="B1297" t="str">
            <v>SOT-523 HD</v>
          </cell>
          <cell r="G1297" t="str">
            <v>MP-TAB</v>
          </cell>
        </row>
        <row r="1298">
          <cell r="B1298" t="str">
            <v>SOT-563 HD</v>
          </cell>
          <cell r="G1298" t="str">
            <v>MP-TAB</v>
          </cell>
        </row>
        <row r="1299">
          <cell r="B1299" t="str">
            <v>SOT-223</v>
          </cell>
          <cell r="G1299" t="str">
            <v>MP209</v>
          </cell>
        </row>
        <row r="1300">
          <cell r="B1300" t="str">
            <v>SOT-323 HD</v>
          </cell>
          <cell r="G1300" t="str">
            <v>MP-TAB</v>
          </cell>
        </row>
        <row r="1301">
          <cell r="B1301" t="str">
            <v>SOD-323 HD</v>
          </cell>
          <cell r="G1301" t="str">
            <v>MP-TAB</v>
          </cell>
        </row>
        <row r="1302">
          <cell r="B1302" t="str">
            <v>TO-277 / 277B</v>
          </cell>
          <cell r="G1302" t="str">
            <v>無型號</v>
          </cell>
        </row>
        <row r="1303">
          <cell r="B1303" t="str">
            <v>TO-277C</v>
          </cell>
          <cell r="G1303" t="str">
            <v>MP209</v>
          </cell>
        </row>
        <row r="1304">
          <cell r="B1304" t="str">
            <v>SMAF</v>
          </cell>
          <cell r="G1304" t="str">
            <v>無型號</v>
          </cell>
        </row>
        <row r="1305">
          <cell r="B1305" t="str">
            <v>SMAF-C</v>
          </cell>
          <cell r="G1305" t="str">
            <v>無型號</v>
          </cell>
        </row>
        <row r="1306">
          <cell r="B1306" t="str">
            <v>SMAF</v>
          </cell>
          <cell r="G1306" t="str">
            <v>無型號</v>
          </cell>
        </row>
        <row r="1307">
          <cell r="B1307" t="str">
            <v>SMAF-C</v>
          </cell>
          <cell r="G1307" t="str">
            <v>無型號</v>
          </cell>
        </row>
        <row r="1308">
          <cell r="B1308" t="str">
            <v>SMBF</v>
          </cell>
          <cell r="G1308" t="str">
            <v>無型號</v>
          </cell>
        </row>
        <row r="1309">
          <cell r="B1309" t="str">
            <v>DO-218AC</v>
          </cell>
          <cell r="G1309" t="str">
            <v>無型號</v>
          </cell>
        </row>
        <row r="1310">
          <cell r="B1310" t="str">
            <v>DO-218AB</v>
          </cell>
          <cell r="G1310" t="str">
            <v>無型號</v>
          </cell>
        </row>
        <row r="1311">
          <cell r="B1311" t="str">
            <v>TDI</v>
          </cell>
          <cell r="G1311" t="str">
            <v>無型號</v>
          </cell>
        </row>
        <row r="1316">
          <cell r="B1316" t="str">
            <v>DFN 2L</v>
          </cell>
          <cell r="G1316" t="str">
            <v>RK-LED200</v>
          </cell>
          <cell r="I1316">
            <v>1</v>
          </cell>
        </row>
        <row r="1317">
          <cell r="B1317" t="str">
            <v>DFN 3L</v>
          </cell>
          <cell r="G1317" t="str">
            <v>RK-LED200</v>
          </cell>
        </row>
        <row r="1318">
          <cell r="B1318" t="str">
            <v>DFN0603</v>
          </cell>
          <cell r="G1318" t="str">
            <v>RK-LED200</v>
          </cell>
          <cell r="I1318">
            <v>1</v>
          </cell>
        </row>
        <row r="1319">
          <cell r="B1319" t="str">
            <v>DFN2510-10L</v>
          </cell>
          <cell r="G1319" t="str">
            <v>FT2018</v>
          </cell>
          <cell r="I1319">
            <v>4</v>
          </cell>
        </row>
        <row r="1320">
          <cell r="B1320" t="str">
            <v>SMAF</v>
          </cell>
          <cell r="G1320" t="str">
            <v>FT2018</v>
          </cell>
          <cell r="I1320">
            <v>1</v>
          </cell>
        </row>
        <row r="1321">
          <cell r="B1321" t="str">
            <v>SMAF</v>
          </cell>
          <cell r="G1321" t="str">
            <v>FT2018</v>
          </cell>
          <cell r="I1321">
            <v>1</v>
          </cell>
        </row>
        <row r="1322">
          <cell r="B1322" t="str">
            <v>SMAF-C</v>
          </cell>
          <cell r="G1322" t="str">
            <v>FT2018</v>
          </cell>
          <cell r="I1322">
            <v>1</v>
          </cell>
        </row>
        <row r="1323">
          <cell r="B1323" t="str">
            <v>SMBF</v>
          </cell>
          <cell r="G1323" t="str">
            <v>FT2018</v>
          </cell>
          <cell r="I1323">
            <v>1</v>
          </cell>
        </row>
        <row r="1324">
          <cell r="B1324" t="str">
            <v>SOD-123</v>
          </cell>
          <cell r="G1324" t="str">
            <v>FT2018</v>
          </cell>
          <cell r="I1324">
            <v>1</v>
          </cell>
        </row>
        <row r="1325">
          <cell r="B1325" t="str">
            <v>SOD-123</v>
          </cell>
          <cell r="G1325" t="str">
            <v>FT2018</v>
          </cell>
          <cell r="I1325">
            <v>1</v>
          </cell>
        </row>
        <row r="1326">
          <cell r="B1326" t="str">
            <v>SOD-123</v>
          </cell>
          <cell r="G1326" t="str">
            <v>FT2018</v>
          </cell>
          <cell r="I1326">
            <v>1</v>
          </cell>
        </row>
        <row r="1327">
          <cell r="B1327" t="str">
            <v>SOD-123FL OP1</v>
          </cell>
          <cell r="G1327" t="str">
            <v>FT2018</v>
          </cell>
          <cell r="I1327">
            <v>1</v>
          </cell>
        </row>
        <row r="1328">
          <cell r="B1328" t="str">
            <v>SOD-123FL OP1</v>
          </cell>
          <cell r="G1328" t="str">
            <v>FT2018</v>
          </cell>
          <cell r="I1328">
            <v>1</v>
          </cell>
        </row>
        <row r="1329">
          <cell r="B1329" t="str">
            <v>SOD-123FL OP1</v>
          </cell>
          <cell r="G1329" t="str">
            <v>FT2018</v>
          </cell>
          <cell r="I1329">
            <v>1</v>
          </cell>
        </row>
        <row r="1330">
          <cell r="B1330" t="str">
            <v>SOD-123FL OP1</v>
          </cell>
          <cell r="G1330" t="str">
            <v>FT2018</v>
          </cell>
          <cell r="I1330">
            <v>1</v>
          </cell>
        </row>
        <row r="1331">
          <cell r="B1331" t="str">
            <v>SOD-123FL HD</v>
          </cell>
          <cell r="G1331" t="str">
            <v>FT2018</v>
          </cell>
          <cell r="I1331">
            <v>1</v>
          </cell>
        </row>
        <row r="1332">
          <cell r="B1332" t="str">
            <v>SOD-123FL HD</v>
          </cell>
          <cell r="G1332" t="str">
            <v>FT2018</v>
          </cell>
          <cell r="I1332">
            <v>1</v>
          </cell>
        </row>
        <row r="1333">
          <cell r="B1333" t="str">
            <v>SOD-123FL HD</v>
          </cell>
          <cell r="G1333" t="str">
            <v>FT2018</v>
          </cell>
          <cell r="I1333">
            <v>1</v>
          </cell>
        </row>
        <row r="1334">
          <cell r="B1334" t="str">
            <v>SOD-123FL HD</v>
          </cell>
          <cell r="G1334" t="str">
            <v>FT2018</v>
          </cell>
          <cell r="I1334">
            <v>1</v>
          </cell>
        </row>
        <row r="1335">
          <cell r="B1335" t="str">
            <v>SOD-123FL</v>
          </cell>
          <cell r="G1335" t="str">
            <v>FT2018</v>
          </cell>
          <cell r="I1335">
            <v>1</v>
          </cell>
        </row>
        <row r="1336">
          <cell r="B1336" t="str">
            <v>SOD-123FL</v>
          </cell>
          <cell r="G1336" t="str">
            <v>FT2018</v>
          </cell>
          <cell r="I1336">
            <v>1</v>
          </cell>
        </row>
        <row r="1337">
          <cell r="B1337" t="str">
            <v>SOD-123FL</v>
          </cell>
          <cell r="G1337" t="str">
            <v>FT2018</v>
          </cell>
          <cell r="I1337">
            <v>1</v>
          </cell>
        </row>
        <row r="1338">
          <cell r="B1338" t="str">
            <v>SOD-123FL</v>
          </cell>
          <cell r="G1338" t="str">
            <v>FT2018</v>
          </cell>
          <cell r="I1338">
            <v>1</v>
          </cell>
        </row>
        <row r="1339">
          <cell r="B1339" t="str">
            <v>SOD-123HE</v>
          </cell>
          <cell r="G1339" t="str">
            <v>FT2018</v>
          </cell>
          <cell r="I1339">
            <v>1</v>
          </cell>
        </row>
        <row r="1340">
          <cell r="B1340" t="str">
            <v>SOD-323</v>
          </cell>
          <cell r="G1340" t="str">
            <v>FT2018</v>
          </cell>
          <cell r="I1340">
            <v>1</v>
          </cell>
        </row>
        <row r="1341">
          <cell r="B1341" t="str">
            <v>SOD-323 HD</v>
          </cell>
          <cell r="G1341" t="str">
            <v>FT2018</v>
          </cell>
          <cell r="I1341">
            <v>1</v>
          </cell>
        </row>
        <row r="1342">
          <cell r="B1342" t="str">
            <v>SOD-323</v>
          </cell>
          <cell r="G1342" t="str">
            <v>FT2018</v>
          </cell>
          <cell r="I1342">
            <v>1</v>
          </cell>
        </row>
        <row r="1343">
          <cell r="B1343" t="str">
            <v>SOD-323</v>
          </cell>
          <cell r="G1343" t="str">
            <v>FT2018</v>
          </cell>
          <cell r="I1343">
            <v>1</v>
          </cell>
        </row>
        <row r="1344">
          <cell r="B1344" t="str">
            <v>SOD-323HE</v>
          </cell>
          <cell r="G1344" t="str">
            <v>FT2018</v>
          </cell>
          <cell r="I1344">
            <v>1</v>
          </cell>
        </row>
        <row r="1345">
          <cell r="B1345" t="str">
            <v>SOD-523</v>
          </cell>
          <cell r="G1345" t="str">
            <v>FT-Mini</v>
          </cell>
          <cell r="I1345">
            <v>1</v>
          </cell>
        </row>
        <row r="1346">
          <cell r="B1346" t="str">
            <v>SOD-523</v>
          </cell>
          <cell r="G1346" t="str">
            <v>FT-Mini</v>
          </cell>
          <cell r="I1346">
            <v>1</v>
          </cell>
        </row>
        <row r="1347">
          <cell r="B1347" t="str">
            <v>SOT-223</v>
          </cell>
          <cell r="G1347" t="str">
            <v>FT2018</v>
          </cell>
          <cell r="I1347">
            <v>1</v>
          </cell>
        </row>
        <row r="1348">
          <cell r="B1348" t="str">
            <v>SOT-23 Cu</v>
          </cell>
          <cell r="G1348" t="str">
            <v>FT2018</v>
          </cell>
          <cell r="I1348">
            <v>1</v>
          </cell>
        </row>
        <row r="1349">
          <cell r="B1349" t="str">
            <v>SOT-23 Cu</v>
          </cell>
          <cell r="G1349" t="str">
            <v>FT2018</v>
          </cell>
          <cell r="I1349">
            <v>1</v>
          </cell>
        </row>
        <row r="1350">
          <cell r="B1350" t="str">
            <v>SOT-23</v>
          </cell>
          <cell r="G1350" t="str">
            <v>FT2018</v>
          </cell>
          <cell r="I1350">
            <v>1</v>
          </cell>
        </row>
        <row r="1351">
          <cell r="B1351" t="str">
            <v>SOT-23</v>
          </cell>
          <cell r="G1351" t="str">
            <v>FT2018</v>
          </cell>
          <cell r="I1351">
            <v>1</v>
          </cell>
        </row>
        <row r="1352">
          <cell r="B1352" t="str">
            <v>TDI</v>
          </cell>
          <cell r="G1352" t="str">
            <v>DTT-24V</v>
          </cell>
          <cell r="I1352">
            <v>4</v>
          </cell>
        </row>
        <row r="1353">
          <cell r="B1353" t="str">
            <v>SOT23-6L</v>
          </cell>
          <cell r="G1353" t="str">
            <v>DTT-24V</v>
          </cell>
          <cell r="I1353">
            <v>1</v>
          </cell>
        </row>
        <row r="1354">
          <cell r="B1354" t="str">
            <v>SOT-323</v>
          </cell>
          <cell r="G1354" t="str">
            <v>FT2018</v>
          </cell>
          <cell r="I1354">
            <v>1</v>
          </cell>
        </row>
        <row r="1355">
          <cell r="B1355" t="str">
            <v>SOT-323</v>
          </cell>
          <cell r="G1355" t="str">
            <v>FT2018</v>
          </cell>
          <cell r="I1355">
            <v>2</v>
          </cell>
        </row>
        <row r="1356">
          <cell r="B1356" t="str">
            <v>SOT-323</v>
          </cell>
          <cell r="G1356" t="str">
            <v>FT2018</v>
          </cell>
          <cell r="I1356">
            <v>2</v>
          </cell>
        </row>
        <row r="1357">
          <cell r="B1357" t="str">
            <v>SOT-323</v>
          </cell>
          <cell r="G1357" t="str">
            <v>FT2018</v>
          </cell>
          <cell r="I1357">
            <v>1</v>
          </cell>
        </row>
        <row r="1358">
          <cell r="B1358" t="str">
            <v>SOT-323 HD</v>
          </cell>
          <cell r="G1358" t="str">
            <v>FT2018</v>
          </cell>
          <cell r="I1358">
            <v>1</v>
          </cell>
        </row>
        <row r="1359">
          <cell r="B1359" t="str">
            <v>SOT-323</v>
          </cell>
          <cell r="G1359" t="str">
            <v>FT2018</v>
          </cell>
          <cell r="I1359">
            <v>1</v>
          </cell>
        </row>
        <row r="1360">
          <cell r="B1360" t="str">
            <v>SOT-363 cu</v>
          </cell>
          <cell r="G1360" t="str">
            <v>FT2018</v>
          </cell>
          <cell r="I1360">
            <v>2</v>
          </cell>
        </row>
        <row r="1361">
          <cell r="B1361" t="str">
            <v>SOT-363 cu</v>
          </cell>
          <cell r="G1361" t="str">
            <v>FT2018</v>
          </cell>
          <cell r="I1361">
            <v>2</v>
          </cell>
        </row>
        <row r="1362">
          <cell r="B1362" t="str">
            <v>SOT-363</v>
          </cell>
          <cell r="G1362" t="str">
            <v>FT2018</v>
          </cell>
          <cell r="I1362">
            <v>2</v>
          </cell>
        </row>
        <row r="1363">
          <cell r="B1363" t="str">
            <v>SOT-363</v>
          </cell>
          <cell r="G1363" t="str">
            <v>FT2018</v>
          </cell>
          <cell r="I1363">
            <v>2</v>
          </cell>
        </row>
        <row r="1364">
          <cell r="B1364" t="str">
            <v>SC-89</v>
          </cell>
          <cell r="G1364" t="str">
            <v>FT2018</v>
          </cell>
          <cell r="I1364">
            <v>1</v>
          </cell>
        </row>
        <row r="1365">
          <cell r="B1365" t="str">
            <v>SOT-523 HD</v>
          </cell>
          <cell r="G1365" t="str">
            <v>FT2018</v>
          </cell>
          <cell r="I1365">
            <v>1</v>
          </cell>
        </row>
        <row r="1366">
          <cell r="B1366" t="str">
            <v>SOT-523 HD</v>
          </cell>
          <cell r="G1366" t="str">
            <v>FT2018</v>
          </cell>
          <cell r="I1366">
            <v>2</v>
          </cell>
        </row>
        <row r="1367">
          <cell r="B1367" t="str">
            <v>SOT-523 HD</v>
          </cell>
          <cell r="G1367" t="str">
            <v>FT2018</v>
          </cell>
          <cell r="I1367">
            <v>2</v>
          </cell>
        </row>
        <row r="1368">
          <cell r="B1368" t="str">
            <v>SOT-523</v>
          </cell>
          <cell r="G1368" t="str">
            <v>FT2018</v>
          </cell>
          <cell r="I1368">
            <v>1</v>
          </cell>
        </row>
        <row r="1369">
          <cell r="B1369" t="str">
            <v>SOT-523</v>
          </cell>
          <cell r="G1369" t="str">
            <v>FT2018</v>
          </cell>
          <cell r="I1369">
            <v>2</v>
          </cell>
        </row>
        <row r="1370">
          <cell r="B1370" t="str">
            <v>SOT-523</v>
          </cell>
          <cell r="G1370" t="str">
            <v>FT2018</v>
          </cell>
          <cell r="I1370">
            <v>2</v>
          </cell>
        </row>
        <row r="1371">
          <cell r="B1371" t="str">
            <v>SOT-553</v>
          </cell>
          <cell r="G1371" t="str">
            <v>FT2018</v>
          </cell>
          <cell r="I1371">
            <v>4</v>
          </cell>
        </row>
        <row r="1372">
          <cell r="B1372" t="str">
            <v>SOT-563</v>
          </cell>
          <cell r="G1372" t="str">
            <v>FT2018</v>
          </cell>
          <cell r="I1372">
            <v>2</v>
          </cell>
        </row>
        <row r="1373">
          <cell r="B1373" t="str">
            <v>SOT-563 HD</v>
          </cell>
          <cell r="G1373" t="str">
            <v>FT2018</v>
          </cell>
          <cell r="I1373">
            <v>2</v>
          </cell>
        </row>
        <row r="1374">
          <cell r="B1374" t="str">
            <v>SOT-563</v>
          </cell>
          <cell r="G1374" t="str">
            <v>FT2018</v>
          </cell>
          <cell r="I1374">
            <v>6</v>
          </cell>
        </row>
        <row r="1375">
          <cell r="B1375" t="str">
            <v>TO-277 / 277B</v>
          </cell>
          <cell r="G1375" t="str">
            <v>FT2018</v>
          </cell>
          <cell r="I1375">
            <v>1</v>
          </cell>
        </row>
        <row r="1376">
          <cell r="B1376" t="str">
            <v>TO-277C</v>
          </cell>
          <cell r="G1376" t="str">
            <v>FT2018</v>
          </cell>
          <cell r="I1376">
            <v>1</v>
          </cell>
        </row>
        <row r="1377">
          <cell r="B1377" t="str">
            <v>TO-277 / 277B</v>
          </cell>
          <cell r="G1377" t="str">
            <v>FT2018</v>
          </cell>
          <cell r="I1377">
            <v>1</v>
          </cell>
        </row>
        <row r="1378">
          <cell r="B1378" t="str">
            <v>TO-277 / 277B</v>
          </cell>
          <cell r="G1378" t="str">
            <v>FT2018</v>
          </cell>
          <cell r="I1378">
            <v>1</v>
          </cell>
        </row>
        <row r="1379">
          <cell r="B1379" t="str">
            <v>DO-218AB</v>
          </cell>
          <cell r="G1379" t="str">
            <v>FT2026</v>
          </cell>
          <cell r="I1379">
            <v>1</v>
          </cell>
        </row>
        <row r="1380">
          <cell r="B1380" t="str">
            <v>DO-218AC</v>
          </cell>
          <cell r="G1380" t="str">
            <v>FT2026</v>
          </cell>
          <cell r="I1380">
            <v>1</v>
          </cell>
        </row>
        <row r="1381">
          <cell r="B1381" t="str">
            <v>DFN 2L</v>
          </cell>
          <cell r="G1381" t="str">
            <v>FT-mini</v>
          </cell>
          <cell r="I1381">
            <v>1</v>
          </cell>
        </row>
        <row r="1382">
          <cell r="B1382" t="str">
            <v>DFN 2L</v>
          </cell>
          <cell r="G1382" t="str">
            <v>FT-mini</v>
          </cell>
          <cell r="I1382">
            <v>1</v>
          </cell>
        </row>
        <row r="1383">
          <cell r="B1383" t="str">
            <v>DFN 3L</v>
          </cell>
          <cell r="G1383" t="str">
            <v>FT-mini</v>
          </cell>
          <cell r="I1383">
            <v>1</v>
          </cell>
        </row>
        <row r="1384">
          <cell r="B1384" t="str">
            <v>SOD-923</v>
          </cell>
          <cell r="G1384" t="str">
            <v>LT16</v>
          </cell>
          <cell r="I1384">
            <v>1</v>
          </cell>
        </row>
        <row r="1385">
          <cell r="B1385" t="str">
            <v>SOD-923</v>
          </cell>
          <cell r="G1385" t="str">
            <v>FT-mini</v>
          </cell>
          <cell r="I1385">
            <v>1</v>
          </cell>
        </row>
        <row r="1386">
          <cell r="B1386" t="str">
            <v>SOD-923</v>
          </cell>
          <cell r="G1386" t="str">
            <v>FT-mini</v>
          </cell>
          <cell r="I1386">
            <v>1</v>
          </cell>
        </row>
        <row r="1387">
          <cell r="B1387" t="str">
            <v>SOD-123</v>
          </cell>
          <cell r="G1387" t="str">
            <v>LT16</v>
          </cell>
          <cell r="I1387">
            <v>1</v>
          </cell>
        </row>
        <row r="1388">
          <cell r="B1388" t="str">
            <v>SOD-123</v>
          </cell>
          <cell r="G1388" t="str">
            <v>LT16</v>
          </cell>
          <cell r="I1388">
            <v>1</v>
          </cell>
        </row>
        <row r="1389">
          <cell r="B1389" t="str">
            <v>SOD-123</v>
          </cell>
          <cell r="G1389" t="str">
            <v>LT16</v>
          </cell>
          <cell r="I1389">
            <v>1</v>
          </cell>
        </row>
        <row r="1390">
          <cell r="B1390" t="str">
            <v>SOD-323</v>
          </cell>
          <cell r="G1390" t="str">
            <v>LT16</v>
          </cell>
          <cell r="I1390">
            <v>1</v>
          </cell>
        </row>
        <row r="1391">
          <cell r="B1391" t="str">
            <v>SOD-323</v>
          </cell>
          <cell r="G1391" t="str">
            <v>LT16</v>
          </cell>
          <cell r="I1391">
            <v>1</v>
          </cell>
        </row>
        <row r="1392">
          <cell r="B1392" t="str">
            <v>SOD-323</v>
          </cell>
          <cell r="G1392" t="str">
            <v>LT16</v>
          </cell>
          <cell r="I1392">
            <v>1</v>
          </cell>
        </row>
        <row r="1393">
          <cell r="B1393" t="str">
            <v>SOD-323</v>
          </cell>
          <cell r="G1393" t="str">
            <v>LT16</v>
          </cell>
          <cell r="I1393">
            <v>1</v>
          </cell>
        </row>
        <row r="1394">
          <cell r="B1394" t="str">
            <v>SOD-523</v>
          </cell>
          <cell r="G1394" t="str">
            <v>LT16</v>
          </cell>
          <cell r="I1394">
            <v>1</v>
          </cell>
        </row>
        <row r="1395">
          <cell r="B1395" t="str">
            <v>SOD-523</v>
          </cell>
          <cell r="G1395" t="str">
            <v>LT16</v>
          </cell>
          <cell r="I1395">
            <v>1</v>
          </cell>
        </row>
        <row r="1396">
          <cell r="B1396" t="str">
            <v>SOT-323</v>
          </cell>
          <cell r="G1396" t="str">
            <v>LT16</v>
          </cell>
          <cell r="I1396">
            <v>1</v>
          </cell>
        </row>
        <row r="1397">
          <cell r="B1397" t="str">
            <v>SOT-323</v>
          </cell>
          <cell r="G1397" t="str">
            <v>LT16</v>
          </cell>
          <cell r="I1397">
            <v>2</v>
          </cell>
        </row>
        <row r="1398">
          <cell r="B1398" t="str">
            <v>SOD-323</v>
          </cell>
          <cell r="G1398" t="str">
            <v>LT16 DUO</v>
          </cell>
          <cell r="I1398">
            <v>1</v>
          </cell>
        </row>
        <row r="1399">
          <cell r="B1399" t="str">
            <v>SOD-523</v>
          </cell>
          <cell r="G1399" t="str">
            <v>LT16 DUO</v>
          </cell>
          <cell r="I1399">
            <v>1</v>
          </cell>
        </row>
        <row r="1400">
          <cell r="B1400" t="str">
            <v>SOD-523</v>
          </cell>
          <cell r="G1400" t="str">
            <v>LT16 DUO</v>
          </cell>
          <cell r="I1400">
            <v>1</v>
          </cell>
        </row>
        <row r="1401">
          <cell r="B1401" t="str">
            <v>SOD-523</v>
          </cell>
          <cell r="G1401" t="str">
            <v>LT16 DUO</v>
          </cell>
          <cell r="I1401">
            <v>1</v>
          </cell>
        </row>
        <row r="1402">
          <cell r="B1402" t="str">
            <v>SOT-23 Cu</v>
          </cell>
          <cell r="G1402" t="str">
            <v>LT2000</v>
          </cell>
          <cell r="I1402">
            <v>1</v>
          </cell>
        </row>
        <row r="1403">
          <cell r="B1403" t="str">
            <v>SOT-23 Cu</v>
          </cell>
          <cell r="G1403" t="str">
            <v>LT32 DUO</v>
          </cell>
          <cell r="I1403">
            <v>2</v>
          </cell>
        </row>
        <row r="1404">
          <cell r="B1404" t="str">
            <v>SOT-23 Cu</v>
          </cell>
          <cell r="G1404" t="str">
            <v>LT32 DUO</v>
          </cell>
          <cell r="I1404">
            <v>1</v>
          </cell>
        </row>
        <row r="1405">
          <cell r="B1405" t="str">
            <v>SOT-23 Cu</v>
          </cell>
          <cell r="G1405" t="str">
            <v>LT32 DUO</v>
          </cell>
          <cell r="I1405">
            <v>1</v>
          </cell>
        </row>
        <row r="1406">
          <cell r="B1406" t="str">
            <v>SOT-23</v>
          </cell>
          <cell r="G1406" t="str">
            <v>LT2000</v>
          </cell>
          <cell r="I1406">
            <v>1</v>
          </cell>
        </row>
        <row r="1407">
          <cell r="B1407" t="str">
            <v>SOT-23</v>
          </cell>
          <cell r="G1407" t="str">
            <v>LT32 DUO</v>
          </cell>
          <cell r="I1407">
            <v>2</v>
          </cell>
        </row>
        <row r="1408">
          <cell r="B1408" t="str">
            <v>SOT-23</v>
          </cell>
          <cell r="G1408" t="str">
            <v>LT32 DUO</v>
          </cell>
          <cell r="I1408">
            <v>1</v>
          </cell>
        </row>
        <row r="1409">
          <cell r="B1409" t="str">
            <v>SOT-363 cu</v>
          </cell>
          <cell r="G1409" t="str">
            <v>LT32 DUO</v>
          </cell>
          <cell r="I1409">
            <v>2</v>
          </cell>
        </row>
        <row r="1410">
          <cell r="B1410" t="str">
            <v>SOT-363</v>
          </cell>
          <cell r="G1410" t="str">
            <v>LT32 DUO</v>
          </cell>
          <cell r="I1410">
            <v>2</v>
          </cell>
        </row>
        <row r="1411">
          <cell r="B1411" t="str">
            <v>SOT-23 Cu</v>
          </cell>
          <cell r="G1411" t="str">
            <v>NX16</v>
          </cell>
          <cell r="I1411">
            <v>1</v>
          </cell>
        </row>
        <row r="1412">
          <cell r="B1412" t="str">
            <v>SOT-23 Cu</v>
          </cell>
          <cell r="G1412" t="str">
            <v>NX16</v>
          </cell>
          <cell r="I1412">
            <v>1</v>
          </cell>
        </row>
        <row r="1413">
          <cell r="B1413" t="str">
            <v>SOT-23</v>
          </cell>
          <cell r="G1413" t="str">
            <v>NX16</v>
          </cell>
          <cell r="I1413">
            <v>2</v>
          </cell>
        </row>
        <row r="1414">
          <cell r="B1414" t="str">
            <v>SOT-23</v>
          </cell>
          <cell r="G1414" t="str">
            <v>NX16</v>
          </cell>
          <cell r="I1414">
            <v>2</v>
          </cell>
        </row>
        <row r="1415">
          <cell r="B1415" t="str">
            <v>SOT-23 Cu</v>
          </cell>
          <cell r="G1415" t="str">
            <v>NX16</v>
          </cell>
          <cell r="I1415">
            <v>2</v>
          </cell>
        </row>
        <row r="1416">
          <cell r="B1416" t="str">
            <v>SOT-23 Cu</v>
          </cell>
          <cell r="G1416" t="str">
            <v>NX16</v>
          </cell>
          <cell r="I1416">
            <v>2</v>
          </cell>
        </row>
        <row r="1417">
          <cell r="B1417" t="str">
            <v>SOT-23</v>
          </cell>
          <cell r="G1417" t="str">
            <v>NX16</v>
          </cell>
          <cell r="I1417">
            <v>1</v>
          </cell>
        </row>
        <row r="1418">
          <cell r="B1418" t="str">
            <v>SOT-23</v>
          </cell>
          <cell r="G1418" t="str">
            <v>NX16</v>
          </cell>
          <cell r="I1418">
            <v>1</v>
          </cell>
        </row>
        <row r="1419">
          <cell r="B1419" t="str">
            <v>SOT-23</v>
          </cell>
          <cell r="G1419" t="str">
            <v>NX16</v>
          </cell>
          <cell r="I1419">
            <v>2</v>
          </cell>
        </row>
        <row r="1420">
          <cell r="B1420" t="str">
            <v>SOT-323</v>
          </cell>
          <cell r="G1420" t="str">
            <v>NX16</v>
          </cell>
          <cell r="I1420">
            <v>1</v>
          </cell>
        </row>
        <row r="1421">
          <cell r="B1421" t="str">
            <v>SOT-323</v>
          </cell>
          <cell r="G1421" t="str">
            <v>NX16</v>
          </cell>
          <cell r="I1421">
            <v>2</v>
          </cell>
        </row>
        <row r="1422">
          <cell r="B1422" t="str">
            <v>SOT-323</v>
          </cell>
          <cell r="G1422" t="str">
            <v>NX16</v>
          </cell>
          <cell r="I1422">
            <v>2</v>
          </cell>
        </row>
        <row r="1423">
          <cell r="B1423" t="str">
            <v>SOT-363 cu</v>
          </cell>
          <cell r="G1423" t="str">
            <v>NX16</v>
          </cell>
          <cell r="I1423">
            <v>2</v>
          </cell>
        </row>
        <row r="1424">
          <cell r="B1424" t="str">
            <v>SOT-363 cu</v>
          </cell>
          <cell r="G1424" t="str">
            <v>NX16</v>
          </cell>
          <cell r="I1424">
            <v>4</v>
          </cell>
        </row>
        <row r="1425">
          <cell r="B1425" t="str">
            <v>SOT-363</v>
          </cell>
          <cell r="G1425" t="str">
            <v>NX16</v>
          </cell>
          <cell r="I1425">
            <v>2</v>
          </cell>
        </row>
        <row r="1426">
          <cell r="B1426" t="str">
            <v>SOT-363</v>
          </cell>
          <cell r="G1426" t="str">
            <v>NX16</v>
          </cell>
          <cell r="I1426">
            <v>4</v>
          </cell>
        </row>
        <row r="1427">
          <cell r="B1427" t="str">
            <v>SOT-523</v>
          </cell>
          <cell r="G1427" t="str">
            <v>NX16</v>
          </cell>
          <cell r="I1427">
            <v>2</v>
          </cell>
        </row>
        <row r="1428">
          <cell r="B1428" t="str">
            <v>SOT-23 6L-1</v>
          </cell>
          <cell r="G1428" t="str">
            <v>FT2018</v>
          </cell>
          <cell r="I1428">
            <v>1</v>
          </cell>
        </row>
        <row r="1429">
          <cell r="B1429" t="str">
            <v>SOT-23 6L-1</v>
          </cell>
          <cell r="G1429" t="str">
            <v>FT2018</v>
          </cell>
          <cell r="I1429">
            <v>2</v>
          </cell>
        </row>
        <row r="1430">
          <cell r="B1430" t="str">
            <v>SOT23-6L</v>
          </cell>
          <cell r="G1430" t="str">
            <v>FT2018</v>
          </cell>
          <cell r="I1430">
            <v>1</v>
          </cell>
        </row>
        <row r="1431">
          <cell r="B1431" t="str">
            <v>SOT23-6L</v>
          </cell>
          <cell r="G1431" t="str">
            <v>FT2018</v>
          </cell>
          <cell r="I1431">
            <v>2</v>
          </cell>
        </row>
        <row r="1432">
          <cell r="B1432" t="str">
            <v>SOT23-6L</v>
          </cell>
          <cell r="G1432" t="str">
            <v>FT2018</v>
          </cell>
          <cell r="I1432">
            <v>2</v>
          </cell>
        </row>
        <row r="1433">
          <cell r="B1433" t="str">
            <v>SOT23-6L</v>
          </cell>
          <cell r="G1433" t="str">
            <v>FT2018</v>
          </cell>
          <cell r="I1433">
            <v>4</v>
          </cell>
        </row>
        <row r="1434">
          <cell r="B1434" t="str">
            <v>SOT23-6L</v>
          </cell>
          <cell r="G1434" t="str">
            <v>FT2018</v>
          </cell>
          <cell r="I1434">
            <v>8</v>
          </cell>
        </row>
        <row r="1435">
          <cell r="B1435" t="str">
            <v>SOT23-6L</v>
          </cell>
          <cell r="G1435" t="str">
            <v>FT2018</v>
          </cell>
          <cell r="I1435">
            <v>8</v>
          </cell>
        </row>
        <row r="1436">
          <cell r="B1436" t="str">
            <v>SOT-363</v>
          </cell>
          <cell r="G1436" t="str">
            <v>FT2018</v>
          </cell>
          <cell r="I1436">
            <v>2</v>
          </cell>
        </row>
        <row r="1437">
          <cell r="B1437" t="str">
            <v>SOT-363</v>
          </cell>
          <cell r="G1437" t="str">
            <v>FT2018</v>
          </cell>
          <cell r="I1437">
            <v>2</v>
          </cell>
        </row>
        <row r="1438">
          <cell r="B1438" t="str">
            <v>SOT-363 Cu</v>
          </cell>
          <cell r="G1438" t="str">
            <v>FT2018</v>
          </cell>
          <cell r="I1438">
            <v>2</v>
          </cell>
        </row>
        <row r="1439">
          <cell r="B1439" t="str">
            <v>SOT-363 Cu</v>
          </cell>
          <cell r="G1439" t="str">
            <v>FT2018</v>
          </cell>
          <cell r="I1439">
            <v>2</v>
          </cell>
        </row>
        <row r="1440">
          <cell r="B1440" t="str">
            <v>SOT-563</v>
          </cell>
          <cell r="G1440" t="str">
            <v>FT2018</v>
          </cell>
          <cell r="I1440">
            <v>2</v>
          </cell>
        </row>
        <row r="1441">
          <cell r="B1441" t="str">
            <v>SOT-563 HD</v>
          </cell>
          <cell r="G1441" t="str">
            <v>FT2018</v>
          </cell>
          <cell r="I1441">
            <v>2</v>
          </cell>
        </row>
        <row r="1450">
          <cell r="B1450" t="str">
            <v>SMAF</v>
          </cell>
          <cell r="G1450" t="str">
            <v>無型號</v>
          </cell>
        </row>
        <row r="1451">
          <cell r="B1451" t="str">
            <v>SMAF-C</v>
          </cell>
          <cell r="G1451" t="str">
            <v>無型號</v>
          </cell>
        </row>
        <row r="1452">
          <cell r="B1452" t="str">
            <v>SMBF</v>
          </cell>
          <cell r="G1452" t="str">
            <v>無型號</v>
          </cell>
        </row>
        <row r="1453">
          <cell r="B1453" t="str">
            <v>SOD-123</v>
          </cell>
          <cell r="G1453" t="str">
            <v>無型號</v>
          </cell>
        </row>
        <row r="1454">
          <cell r="B1454" t="str">
            <v>SOD-123FL</v>
          </cell>
          <cell r="G1454" t="str">
            <v>無型號</v>
          </cell>
        </row>
        <row r="1455">
          <cell r="B1455" t="str">
            <v>SOD-123FL OP1</v>
          </cell>
          <cell r="G1455" t="str">
            <v>無型號</v>
          </cell>
        </row>
        <row r="1456">
          <cell r="B1456" t="str">
            <v>SOD-123HE</v>
          </cell>
          <cell r="G1456" t="str">
            <v>無型號</v>
          </cell>
        </row>
        <row r="1457">
          <cell r="B1457" t="str">
            <v>SOD-323</v>
          </cell>
          <cell r="G1457" t="str">
            <v>無型號</v>
          </cell>
        </row>
        <row r="1458">
          <cell r="B1458" t="str">
            <v>SOD-523</v>
          </cell>
          <cell r="G1458" t="str">
            <v>無型號</v>
          </cell>
        </row>
        <row r="1459">
          <cell r="B1459" t="str">
            <v>SOD-323HE</v>
          </cell>
          <cell r="G1459" t="str">
            <v>無型號</v>
          </cell>
        </row>
        <row r="1460">
          <cell r="B1460" t="str">
            <v>SOT-23</v>
          </cell>
          <cell r="G1460" t="str">
            <v>無型號</v>
          </cell>
        </row>
        <row r="1461">
          <cell r="B1461" t="str">
            <v>SOT-23 CU</v>
          </cell>
          <cell r="G1461" t="str">
            <v>無型號</v>
          </cell>
        </row>
        <row r="1462">
          <cell r="B1462" t="str">
            <v>SOT23-6L</v>
          </cell>
          <cell r="G1462" t="str">
            <v>無型號</v>
          </cell>
        </row>
        <row r="1463">
          <cell r="B1463" t="str">
            <v>SOT-323</v>
          </cell>
          <cell r="G1463" t="str">
            <v>無型號</v>
          </cell>
        </row>
        <row r="1464">
          <cell r="B1464" t="str">
            <v>SOT-363</v>
          </cell>
          <cell r="G1464" t="str">
            <v>無型號</v>
          </cell>
        </row>
        <row r="1465">
          <cell r="B1465" t="str">
            <v>SOT-363 CU</v>
          </cell>
          <cell r="G1465" t="str">
            <v>無型號</v>
          </cell>
        </row>
        <row r="1466">
          <cell r="B1466" t="str">
            <v>SOT-523</v>
          </cell>
          <cell r="G1466" t="str">
            <v>無型號</v>
          </cell>
        </row>
        <row r="1467">
          <cell r="B1467" t="str">
            <v>SOT-563</v>
          </cell>
          <cell r="G1467" t="str">
            <v>無型號</v>
          </cell>
        </row>
        <row r="1468">
          <cell r="B1468" t="str">
            <v>TDI</v>
          </cell>
          <cell r="G1468" t="str">
            <v>無型號</v>
          </cell>
        </row>
        <row r="1469">
          <cell r="B1469" t="str">
            <v>TO-277 / 277B</v>
          </cell>
          <cell r="G1469" t="str">
            <v>無型號</v>
          </cell>
        </row>
        <row r="1474">
          <cell r="B1474" t="str">
            <v>DFN 2L</v>
          </cell>
          <cell r="G1474" t="str">
            <v>AMT-9.04</v>
          </cell>
        </row>
        <row r="1475">
          <cell r="B1475" t="str">
            <v>DFN 3L</v>
          </cell>
          <cell r="G1475" t="str">
            <v>AMT-9.04</v>
          </cell>
        </row>
        <row r="1476">
          <cell r="B1476" t="str">
            <v>DFN2510-10L</v>
          </cell>
          <cell r="G1476" t="str">
            <v>AMT-9.04</v>
          </cell>
        </row>
        <row r="1477">
          <cell r="B1477" t="str">
            <v>SMAF</v>
          </cell>
          <cell r="G1477" t="str">
            <v>AMT-9.04</v>
          </cell>
        </row>
        <row r="1478">
          <cell r="B1478" t="str">
            <v>SMBF</v>
          </cell>
          <cell r="G1478" t="str">
            <v>AMT-9.04</v>
          </cell>
        </row>
        <row r="1479">
          <cell r="B1479" t="str">
            <v>SOD-123</v>
          </cell>
          <cell r="G1479" t="str">
            <v>AMT-9.04</v>
          </cell>
        </row>
        <row r="1480">
          <cell r="B1480" t="str">
            <v>SOD-123FL</v>
          </cell>
          <cell r="G1480" t="str">
            <v>AMT-9.04</v>
          </cell>
        </row>
        <row r="1481">
          <cell r="B1481" t="str">
            <v>SOD-123FL OP1</v>
          </cell>
          <cell r="G1481" t="str">
            <v>AMT-9.04</v>
          </cell>
        </row>
        <row r="1482">
          <cell r="B1482" t="str">
            <v>SOD-123FL HD</v>
          </cell>
          <cell r="G1482" t="str">
            <v>AMT-9.04</v>
          </cell>
        </row>
        <row r="1483">
          <cell r="B1483" t="str">
            <v>SOD-123HE</v>
          </cell>
          <cell r="G1483" t="str">
            <v>AMT-9.04</v>
          </cell>
        </row>
        <row r="1484">
          <cell r="B1484" t="str">
            <v>SOD-323</v>
          </cell>
          <cell r="G1484" t="str">
            <v>AMT-9.04</v>
          </cell>
        </row>
        <row r="1485">
          <cell r="B1485" t="str">
            <v>SOD-323 HD</v>
          </cell>
          <cell r="G1485" t="str">
            <v>AMT-9.04</v>
          </cell>
        </row>
        <row r="1486">
          <cell r="B1486" t="str">
            <v>SOD-323HE</v>
          </cell>
          <cell r="G1486" t="str">
            <v>AMT-9.04</v>
          </cell>
        </row>
        <row r="1487">
          <cell r="B1487" t="str">
            <v>SOT-223</v>
          </cell>
          <cell r="G1487" t="str">
            <v>AMT-9.04</v>
          </cell>
        </row>
        <row r="1488">
          <cell r="B1488" t="str">
            <v>SOT-23</v>
          </cell>
          <cell r="G1488" t="str">
            <v>AMT-9.04</v>
          </cell>
        </row>
        <row r="1489">
          <cell r="B1489" t="str">
            <v>SOT-23 6L-1</v>
          </cell>
          <cell r="G1489" t="str">
            <v>AMT-9.04</v>
          </cell>
        </row>
        <row r="1490">
          <cell r="B1490" t="str">
            <v>SOT-23 Cu</v>
          </cell>
          <cell r="G1490" t="str">
            <v>AMT-9.04</v>
          </cell>
        </row>
        <row r="1491">
          <cell r="B1491" t="str">
            <v>SOT23-6L</v>
          </cell>
          <cell r="G1491" t="str">
            <v>AMT-9.04</v>
          </cell>
        </row>
        <row r="1492">
          <cell r="B1492" t="str">
            <v>SOT-323</v>
          </cell>
          <cell r="G1492" t="str">
            <v>AMT-9.04</v>
          </cell>
        </row>
        <row r="1493">
          <cell r="B1493" t="str">
            <v>SOT-323 HD</v>
          </cell>
          <cell r="G1493" t="str">
            <v>AMT-9.04</v>
          </cell>
        </row>
        <row r="1494">
          <cell r="B1494" t="str">
            <v>SOT-363</v>
          </cell>
          <cell r="G1494" t="str">
            <v>AMT-9.04</v>
          </cell>
        </row>
        <row r="1495">
          <cell r="B1495" t="str">
            <v>SOT-363 Cu</v>
          </cell>
          <cell r="G1495" t="str">
            <v>AMT-9.04</v>
          </cell>
        </row>
        <row r="1496">
          <cell r="B1496" t="str">
            <v>SOT-523</v>
          </cell>
          <cell r="G1496" t="str">
            <v>AMT-9.04</v>
          </cell>
        </row>
        <row r="1497">
          <cell r="B1497" t="str">
            <v>SC-89</v>
          </cell>
          <cell r="G1497" t="str">
            <v>AMT-9.04</v>
          </cell>
        </row>
        <row r="1498">
          <cell r="B1498" t="str">
            <v>SOT-523 HD</v>
          </cell>
          <cell r="G1498" t="str">
            <v>AMT-9.04</v>
          </cell>
        </row>
        <row r="1499">
          <cell r="B1499" t="str">
            <v>SOT-563</v>
          </cell>
          <cell r="G1499" t="str">
            <v>AMT-9.04</v>
          </cell>
        </row>
        <row r="1500">
          <cell r="B1500" t="str">
            <v>SOT-563 HD</v>
          </cell>
          <cell r="G1500" t="str">
            <v>AMT-9.04</v>
          </cell>
        </row>
        <row r="1501">
          <cell r="B1501" t="str">
            <v>TDI</v>
          </cell>
          <cell r="G1501" t="str">
            <v>AMT-9.04</v>
          </cell>
        </row>
        <row r="1502">
          <cell r="B1502" t="str">
            <v>TO-277 / 277B</v>
          </cell>
          <cell r="G1502" t="str">
            <v>AMT-9.04</v>
          </cell>
        </row>
        <row r="1503">
          <cell r="B1503" t="str">
            <v>TO-277C</v>
          </cell>
          <cell r="G1503" t="str">
            <v>AMT-9.04</v>
          </cell>
        </row>
        <row r="1504">
          <cell r="B1504" t="str">
            <v>SOT23-6L</v>
          </cell>
          <cell r="G1504" t="str">
            <v>AMT-9.04</v>
          </cell>
        </row>
        <row r="1505">
          <cell r="B1505" t="str">
            <v>SOD-523</v>
          </cell>
          <cell r="G1505" t="str">
            <v>AMT-9.04</v>
          </cell>
        </row>
        <row r="1506">
          <cell r="B1506" t="str">
            <v>SOD-923</v>
          </cell>
          <cell r="G1506" t="str">
            <v>AMT-9.04</v>
          </cell>
        </row>
        <row r="1507">
          <cell r="B1507" t="str">
            <v>SOD-123</v>
          </cell>
          <cell r="G1507" t="str">
            <v>AMT-9.04</v>
          </cell>
        </row>
        <row r="1508">
          <cell r="B1508" t="str">
            <v>SOD-323</v>
          </cell>
          <cell r="G1508" t="str">
            <v>AMT-9.04</v>
          </cell>
        </row>
        <row r="1509">
          <cell r="B1509" t="str">
            <v>SOT-23 Cu</v>
          </cell>
          <cell r="G1509" t="str">
            <v>AMT-9.04</v>
          </cell>
        </row>
        <row r="1514">
          <cell r="B1514" t="str">
            <v>DO-218AB</v>
          </cell>
          <cell r="G1514" t="str">
            <v>無型號</v>
          </cell>
        </row>
        <row r="1515">
          <cell r="B1515" t="str">
            <v>DO-218AC</v>
          </cell>
          <cell r="G1515" t="str">
            <v>無型號</v>
          </cell>
        </row>
        <row r="1516">
          <cell r="B1516" t="str">
            <v>SOD-123FL</v>
          </cell>
          <cell r="G1516" t="str">
            <v>無型號</v>
          </cell>
        </row>
        <row r="1517">
          <cell r="B1517" t="str">
            <v>SOD-123FL OP1</v>
          </cell>
          <cell r="G1517" t="str">
            <v>無型號</v>
          </cell>
        </row>
        <row r="1518">
          <cell r="B1518" t="str">
            <v>SOD-123HE</v>
          </cell>
          <cell r="G1518" t="str">
            <v>無型號</v>
          </cell>
        </row>
        <row r="1519">
          <cell r="B1519" t="str">
            <v>SOD-323HE</v>
          </cell>
          <cell r="G1519" t="str">
            <v>無型號</v>
          </cell>
        </row>
        <row r="1520">
          <cell r="B1520" t="str">
            <v>TO-277 / 277B</v>
          </cell>
          <cell r="G1520" t="str">
            <v>無型號</v>
          </cell>
        </row>
        <row r="1521">
          <cell r="B1521" t="str">
            <v>TO-277C</v>
          </cell>
          <cell r="G1521" t="str">
            <v>無型號</v>
          </cell>
        </row>
        <row r="1522">
          <cell r="B1522" t="str">
            <v>SMAF</v>
          </cell>
          <cell r="G1522" t="str">
            <v>無型號</v>
          </cell>
        </row>
        <row r="1523">
          <cell r="B1523" t="str">
            <v>SMBF</v>
          </cell>
          <cell r="G1523" t="str">
            <v>無型號</v>
          </cell>
        </row>
        <row r="1524">
          <cell r="B1524" t="str">
            <v>TDI</v>
          </cell>
          <cell r="G1524" t="str">
            <v>無型號</v>
          </cell>
        </row>
      </sheetData>
      <sheetData sheetId="10"/>
      <sheetData sheetId="11"/>
      <sheetData sheetId="12"/>
      <sheetData sheetId="13">
        <row r="1">
          <cell r="M1" t="str">
            <v>Key</v>
          </cell>
        </row>
      </sheetData>
      <sheetData sheetId="14">
        <row r="1">
          <cell r="B1">
            <v>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A1" t="str">
            <v>Package</v>
          </cell>
        </row>
      </sheetData>
      <sheetData sheetId="23">
        <row r="2">
          <cell r="C2" t="str">
            <v>Package name</v>
          </cell>
        </row>
        <row r="3">
          <cell r="C3" t="str">
            <v>SOD-123</v>
          </cell>
        </row>
        <row r="4">
          <cell r="C4" t="str">
            <v>SOD-323</v>
          </cell>
        </row>
        <row r="5">
          <cell r="C5" t="str">
            <v>SOD-323 HD</v>
          </cell>
        </row>
        <row r="6">
          <cell r="C6" t="str">
            <v>SOD-523</v>
          </cell>
        </row>
        <row r="7">
          <cell r="C7" t="str">
            <v>SOD-923</v>
          </cell>
        </row>
        <row r="8">
          <cell r="C8" t="str">
            <v>SOT-223</v>
          </cell>
        </row>
        <row r="9">
          <cell r="C9" t="str">
            <v>SOT-23</v>
          </cell>
        </row>
        <row r="10">
          <cell r="C10" t="str">
            <v>SOT-23 Cu</v>
          </cell>
        </row>
        <row r="11">
          <cell r="C11" t="str">
            <v>SOT-323</v>
          </cell>
        </row>
        <row r="12">
          <cell r="C12" t="str">
            <v>SOT-323 HD</v>
          </cell>
        </row>
        <row r="13">
          <cell r="C13" t="str">
            <v>SOT23-5L</v>
          </cell>
        </row>
        <row r="14">
          <cell r="C14" t="str">
            <v>SOT23-6L</v>
          </cell>
        </row>
        <row r="15">
          <cell r="C15" t="str">
            <v>SOT-23 6L-1</v>
          </cell>
        </row>
        <row r="16">
          <cell r="C16" t="str">
            <v>SOT-363</v>
          </cell>
        </row>
        <row r="17">
          <cell r="C17" t="str">
            <v>SOT-363 CU</v>
          </cell>
        </row>
        <row r="18">
          <cell r="C18" t="str">
            <v>SOT-523</v>
          </cell>
        </row>
        <row r="19">
          <cell r="C19" t="str">
            <v>SOT-523 HD</v>
          </cell>
        </row>
        <row r="20">
          <cell r="C20" t="str">
            <v>SC-89</v>
          </cell>
        </row>
        <row r="21">
          <cell r="C21" t="str">
            <v>SOT-563</v>
          </cell>
        </row>
        <row r="22">
          <cell r="C22" t="str">
            <v>SOT-563 HD</v>
          </cell>
        </row>
        <row r="23">
          <cell r="C23" t="str">
            <v>SOD-323HE</v>
          </cell>
        </row>
        <row r="24">
          <cell r="C24" t="str">
            <v>TDI</v>
          </cell>
        </row>
        <row r="25">
          <cell r="C25" t="str">
            <v>DFN 2L</v>
          </cell>
        </row>
        <row r="26">
          <cell r="C26" t="str">
            <v>DFN 3L</v>
          </cell>
        </row>
        <row r="27">
          <cell r="C27" t="str">
            <v>DFN0603</v>
          </cell>
        </row>
        <row r="28">
          <cell r="C28" t="str">
            <v>DFN2510-10L</v>
          </cell>
        </row>
        <row r="29">
          <cell r="C29" t="str">
            <v>SOD-123FL</v>
          </cell>
        </row>
        <row r="30">
          <cell r="C30" t="str">
            <v>SOD-123FL OP1</v>
          </cell>
        </row>
        <row r="31">
          <cell r="C31" t="str">
            <v>SOD-123FL HD</v>
          </cell>
        </row>
        <row r="32">
          <cell r="C32" t="str">
            <v>SOD-123HE</v>
          </cell>
        </row>
        <row r="33">
          <cell r="C33" t="str">
            <v>DO-218AB</v>
          </cell>
        </row>
        <row r="34">
          <cell r="C34" t="str">
            <v>DO-218AC</v>
          </cell>
        </row>
        <row r="35">
          <cell r="C35" t="str">
            <v>SMAF</v>
          </cell>
        </row>
        <row r="36">
          <cell r="C36" t="str">
            <v>SMAF-C</v>
          </cell>
        </row>
        <row r="37">
          <cell r="C37" t="str">
            <v>SMBF</v>
          </cell>
        </row>
        <row r="38">
          <cell r="C38" t="str">
            <v>TO-277 / 277B</v>
          </cell>
        </row>
        <row r="39">
          <cell r="C39" t="str">
            <v>TO-277C</v>
          </cell>
        </row>
      </sheetData>
      <sheetData sheetId="24"/>
      <sheetData sheetId="25"/>
      <sheetData sheetId="26"/>
      <sheetData sheetId="27">
        <row r="1">
          <cell r="D1" t="str">
            <v>MES機台編號</v>
          </cell>
        </row>
      </sheetData>
      <sheetData sheetId="28"/>
      <sheetData sheetId="29">
        <row r="1">
          <cell r="A1" t="str">
            <v>Package</v>
          </cell>
        </row>
      </sheetData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E7C6-473B-4B14-988B-B9992A0FC183}">
  <sheetPr filterMode="1"/>
  <dimension ref="B1:AA133"/>
  <sheetViews>
    <sheetView tabSelected="1" topLeftCell="B1" zoomScale="85" zoomScaleNormal="85" workbookViewId="0">
      <pane xSplit="1" ySplit="5" topLeftCell="C49" activePane="bottomRight" state="frozen"/>
      <selection activeCell="B1" sqref="B1"/>
      <selection pane="topRight" activeCell="C1" sqref="C1"/>
      <selection pane="bottomLeft" activeCell="B6" sqref="B6"/>
      <selection pane="bottomRight" activeCell="I66" sqref="I66"/>
    </sheetView>
  </sheetViews>
  <sheetFormatPr defaultColWidth="9" defaultRowHeight="15.5" outlineLevelCol="1"/>
  <cols>
    <col min="1" max="1" width="9" style="3"/>
    <col min="2" max="2" width="16.90625" style="3" bestFit="1" customWidth="1"/>
    <col min="3" max="3" width="25.36328125" style="73" bestFit="1" customWidth="1"/>
    <col min="4" max="4" width="13.26953125" style="6" customWidth="1" outlineLevel="1"/>
    <col min="5" max="5" width="13.08984375" style="6" customWidth="1" outlineLevel="1"/>
    <col min="6" max="6" width="10.6328125" style="3" customWidth="1" outlineLevel="1"/>
    <col min="7" max="8" width="20.90625" style="3" customWidth="1" outlineLevel="1"/>
    <col min="9" max="9" width="10.6328125" style="3" customWidth="1" outlineLevel="1"/>
    <col min="10" max="10" width="24.90625" style="3" customWidth="1" outlineLevel="1"/>
    <col min="11" max="11" width="42.453125" style="3" hidden="1" customWidth="1" outlineLevel="1"/>
    <col min="12" max="13" width="23.453125" style="4" customWidth="1" outlineLevel="1"/>
    <col min="14" max="14" width="23.6328125" style="4" customWidth="1" outlineLevel="1"/>
    <col min="15" max="15" width="6" style="3" customWidth="1"/>
    <col min="16" max="16" width="14.26953125" style="3" bestFit="1" customWidth="1"/>
    <col min="17" max="18" width="11.90625" style="3" customWidth="1"/>
    <col min="19" max="20" width="11.90625" style="4" customWidth="1"/>
    <col min="21" max="21" width="11.90625" style="3" customWidth="1"/>
    <col min="22" max="24" width="9" style="5"/>
    <col min="25" max="25" width="9" style="5" customWidth="1"/>
    <col min="26" max="26" width="9" style="3"/>
    <col min="27" max="27" width="73.453125" style="6" customWidth="1"/>
    <col min="28" max="16384" width="9" style="3"/>
  </cols>
  <sheetData>
    <row r="1" spans="2:27">
      <c r="B1" s="1" t="s">
        <v>0</v>
      </c>
      <c r="C1" s="2" t="s">
        <v>1</v>
      </c>
      <c r="D1" s="1" t="s">
        <v>2</v>
      </c>
      <c r="E1" s="2">
        <v>300</v>
      </c>
    </row>
    <row r="2" spans="2:27">
      <c r="B2" s="1" t="s">
        <v>3</v>
      </c>
      <c r="C2" s="2" t="s">
        <v>4</v>
      </c>
      <c r="D2" s="1" t="s">
        <v>5</v>
      </c>
      <c r="E2" s="2">
        <v>100</v>
      </c>
      <c r="T2" s="4" t="s">
        <v>6</v>
      </c>
    </row>
    <row r="3" spans="2:27" ht="16">
      <c r="B3" s="1" t="s">
        <v>7</v>
      </c>
      <c r="C3" s="2" t="s">
        <v>8</v>
      </c>
      <c r="D3" s="1" t="s">
        <v>9</v>
      </c>
      <c r="E3" s="7">
        <v>432</v>
      </c>
      <c r="F3" s="6"/>
      <c r="G3" s="6"/>
      <c r="H3" s="6"/>
      <c r="I3" s="6"/>
      <c r="J3" s="6"/>
      <c r="K3" s="6"/>
      <c r="L3" s="8"/>
      <c r="M3" s="8"/>
      <c r="N3" s="8"/>
      <c r="O3" s="6"/>
      <c r="P3" s="6"/>
      <c r="Q3" s="6"/>
      <c r="R3" s="6"/>
      <c r="S3" s="8"/>
      <c r="T3" s="8">
        <v>30</v>
      </c>
      <c r="U3" s="6"/>
    </row>
    <row r="4" spans="2:27" s="6" customFormat="1" ht="16" thickBot="1">
      <c r="H4" s="6" t="s">
        <v>10</v>
      </c>
      <c r="M4" s="6" t="s">
        <v>10</v>
      </c>
      <c r="O4" s="6" t="s">
        <v>11</v>
      </c>
      <c r="S4" s="6" t="s">
        <v>10</v>
      </c>
      <c r="T4" s="6" t="s">
        <v>10</v>
      </c>
      <c r="U4" s="6" t="s">
        <v>10</v>
      </c>
      <c r="V4" s="9"/>
      <c r="W4" s="6" t="s">
        <v>10</v>
      </c>
      <c r="X4" s="9"/>
      <c r="Y4" s="6" t="s">
        <v>10</v>
      </c>
    </row>
    <row r="5" spans="2:27" ht="64">
      <c r="B5" s="10" t="s">
        <v>12</v>
      </c>
      <c r="C5" s="10" t="s">
        <v>13</v>
      </c>
      <c r="D5" s="11" t="s">
        <v>14</v>
      </c>
      <c r="E5" s="10" t="s">
        <v>15</v>
      </c>
      <c r="F5" s="10" t="s">
        <v>16</v>
      </c>
      <c r="G5" s="10" t="s">
        <v>17</v>
      </c>
      <c r="H5" s="10" t="s">
        <v>18</v>
      </c>
      <c r="I5" s="10" t="s">
        <v>19</v>
      </c>
      <c r="J5" s="10" t="s">
        <v>20</v>
      </c>
      <c r="K5" s="10" t="s">
        <v>21</v>
      </c>
      <c r="L5" s="12" t="s">
        <v>22</v>
      </c>
      <c r="M5" s="12" t="s">
        <v>23</v>
      </c>
      <c r="N5" s="12" t="s">
        <v>24</v>
      </c>
      <c r="O5" s="10" t="s">
        <v>25</v>
      </c>
      <c r="P5" s="10" t="s">
        <v>26</v>
      </c>
      <c r="Q5" s="10" t="s">
        <v>27</v>
      </c>
      <c r="R5" s="10" t="s">
        <v>28</v>
      </c>
      <c r="S5" s="12" t="s">
        <v>29</v>
      </c>
      <c r="T5" s="12" t="s">
        <v>30</v>
      </c>
      <c r="U5" s="10" t="s">
        <v>31</v>
      </c>
      <c r="V5" s="13"/>
      <c r="W5" s="14" t="s">
        <v>32</v>
      </c>
      <c r="X5" s="13"/>
      <c r="Y5" s="14" t="s">
        <v>33</v>
      </c>
      <c r="AA5" s="15" t="s">
        <v>34</v>
      </c>
    </row>
    <row r="6" spans="2:27" hidden="1">
      <c r="B6" s="16" t="s">
        <v>35</v>
      </c>
      <c r="C6" s="17" t="s">
        <v>36</v>
      </c>
      <c r="D6" s="2"/>
      <c r="E6" s="2" t="s">
        <v>37</v>
      </c>
      <c r="F6" s="18">
        <f>O6</f>
        <v>0</v>
      </c>
      <c r="G6" s="19"/>
      <c r="H6" s="19">
        <f>F6*G6</f>
        <v>0</v>
      </c>
      <c r="I6" s="2"/>
      <c r="J6" s="18"/>
      <c r="K6" s="18"/>
      <c r="L6" s="19"/>
      <c r="M6" s="19">
        <f>IFERROR(L6*F6,"")</f>
        <v>0</v>
      </c>
      <c r="N6" s="19"/>
      <c r="O6" s="18"/>
      <c r="P6" s="20"/>
      <c r="Q6" s="20"/>
      <c r="R6" s="18"/>
      <c r="S6" s="19">
        <f>O6*P6*Q6</f>
        <v>0</v>
      </c>
      <c r="T6" s="19">
        <f>S6*$T$3</f>
        <v>0</v>
      </c>
      <c r="U6" s="21">
        <f>P6*R6*(Q6/24)</f>
        <v>0</v>
      </c>
      <c r="V6" s="22">
        <f>IFERROR(1/U6,0)</f>
        <v>0</v>
      </c>
      <c r="W6" s="23">
        <f>SUM(V6:V8)</f>
        <v>0</v>
      </c>
      <c r="X6" s="22">
        <f>IFERROR(1/(P6*Q6/24),0)</f>
        <v>0</v>
      </c>
      <c r="Y6" s="23">
        <f>SUM(X6:X8)</f>
        <v>0</v>
      </c>
      <c r="AA6" s="20"/>
    </row>
    <row r="7" spans="2:27" hidden="1">
      <c r="B7" s="16"/>
      <c r="C7" s="17" t="s">
        <v>38</v>
      </c>
      <c r="D7" s="2"/>
      <c r="E7" s="2" t="s">
        <v>37</v>
      </c>
      <c r="F7" s="18">
        <f>O7</f>
        <v>0</v>
      </c>
      <c r="G7" s="19"/>
      <c r="H7" s="19">
        <f>F7*G7</f>
        <v>0</v>
      </c>
      <c r="I7" s="2"/>
      <c r="J7" s="18"/>
      <c r="K7" s="18"/>
      <c r="L7" s="19"/>
      <c r="M7" s="19">
        <f t="shared" ref="M7:M8" si="0">IFERROR(L7*F7,"")</f>
        <v>0</v>
      </c>
      <c r="N7" s="19"/>
      <c r="O7" s="18"/>
      <c r="P7" s="20"/>
      <c r="Q7" s="20"/>
      <c r="R7" s="18"/>
      <c r="S7" s="19">
        <f>O7*P7*Q7</f>
        <v>0</v>
      </c>
      <c r="T7" s="19">
        <f>S7*$T$3</f>
        <v>0</v>
      </c>
      <c r="U7" s="21">
        <f>P7*R7*(Q7/24)</f>
        <v>0</v>
      </c>
      <c r="V7" s="22">
        <f>IFERROR(1/U7,0)</f>
        <v>0</v>
      </c>
      <c r="W7" s="23"/>
      <c r="X7" s="22">
        <f>IFERROR(1/(P7*Q7/24),0)</f>
        <v>0</v>
      </c>
      <c r="Y7" s="23"/>
      <c r="AA7" s="20"/>
    </row>
    <row r="8" spans="2:27" hidden="1">
      <c r="B8" s="16"/>
      <c r="C8" s="17" t="s">
        <v>39</v>
      </c>
      <c r="D8" s="2"/>
      <c r="E8" s="24" t="s">
        <v>39</v>
      </c>
      <c r="F8" s="18"/>
      <c r="G8" s="19"/>
      <c r="H8" s="19">
        <f>F8*G8</f>
        <v>0</v>
      </c>
      <c r="I8" s="2"/>
      <c r="J8" s="18"/>
      <c r="K8" s="18"/>
      <c r="L8" s="19"/>
      <c r="M8" s="19">
        <f t="shared" si="0"/>
        <v>0</v>
      </c>
      <c r="N8" s="19"/>
      <c r="O8" s="18"/>
      <c r="P8" s="20"/>
      <c r="Q8" s="20"/>
      <c r="R8" s="18"/>
      <c r="S8" s="19"/>
      <c r="T8" s="19"/>
      <c r="U8" s="21"/>
      <c r="V8" s="22"/>
      <c r="W8" s="23"/>
      <c r="X8" s="22"/>
      <c r="Y8" s="23"/>
      <c r="AA8" s="20"/>
    </row>
    <row r="9" spans="2:27" ht="3.75" hidden="1" customHeight="1">
      <c r="B9" s="25" t="s">
        <v>40</v>
      </c>
      <c r="C9" s="26" t="s">
        <v>40</v>
      </c>
      <c r="D9" s="27"/>
      <c r="E9" s="27" t="s">
        <v>40</v>
      </c>
      <c r="F9" s="25" t="s">
        <v>40</v>
      </c>
      <c r="G9" s="28" t="s">
        <v>40</v>
      </c>
      <c r="H9" s="28" t="s">
        <v>40</v>
      </c>
      <c r="I9" s="27" t="s">
        <v>40</v>
      </c>
      <c r="J9" s="25" t="s">
        <v>40</v>
      </c>
      <c r="K9" s="25" t="s">
        <v>40</v>
      </c>
      <c r="L9" s="28" t="s">
        <v>40</v>
      </c>
      <c r="M9" s="28"/>
      <c r="N9" s="28" t="s">
        <v>40</v>
      </c>
      <c r="O9" s="25"/>
      <c r="P9" s="29" t="s">
        <v>40</v>
      </c>
      <c r="Q9" s="29" t="s">
        <v>40</v>
      </c>
      <c r="R9" s="25" t="s">
        <v>40</v>
      </c>
      <c r="S9" s="28" t="s">
        <v>40</v>
      </c>
      <c r="T9" s="28" t="s">
        <v>40</v>
      </c>
      <c r="U9" s="28"/>
      <c r="V9" s="28"/>
      <c r="W9" s="28" t="s">
        <v>40</v>
      </c>
      <c r="X9" s="28" t="s">
        <v>40</v>
      </c>
      <c r="Y9" s="28" t="s">
        <v>40</v>
      </c>
      <c r="AA9" s="29"/>
    </row>
    <row r="10" spans="2:27" hidden="1">
      <c r="B10" s="30" t="s">
        <v>41</v>
      </c>
      <c r="C10" s="17" t="s">
        <v>42</v>
      </c>
      <c r="D10" s="2"/>
      <c r="E10" s="2" t="s">
        <v>37</v>
      </c>
      <c r="F10" s="18">
        <f t="shared" ref="F10:F15" si="1">O10</f>
        <v>0</v>
      </c>
      <c r="G10" s="19"/>
      <c r="H10" s="19">
        <f t="shared" ref="H10:H16" si="2">F10*G10</f>
        <v>0</v>
      </c>
      <c r="I10" s="2"/>
      <c r="J10" s="18"/>
      <c r="K10" s="18"/>
      <c r="L10" s="19"/>
      <c r="M10" s="19">
        <f t="shared" ref="M10:M16" si="3">IFERROR(L10*F10,"")</f>
        <v>0</v>
      </c>
      <c r="N10" s="19"/>
      <c r="O10" s="18"/>
      <c r="P10" s="20"/>
      <c r="Q10" s="20"/>
      <c r="R10" s="18"/>
      <c r="S10" s="19">
        <f t="shared" ref="S10:S15" si="4">O10*P10*Q10</f>
        <v>0</v>
      </c>
      <c r="T10" s="19">
        <f t="shared" ref="T10:T15" si="5">S10*$T$3</f>
        <v>0</v>
      </c>
      <c r="U10" s="21">
        <f t="shared" ref="U10:U15" si="6">P10*R10*(Q10/24)</f>
        <v>0</v>
      </c>
      <c r="V10" s="22">
        <f t="shared" ref="V10:V15" si="7">IFERROR(1/U10,0)</f>
        <v>0</v>
      </c>
      <c r="W10" s="23">
        <f>SUM(V10:V16)</f>
        <v>0</v>
      </c>
      <c r="X10" s="22">
        <f t="shared" ref="X10:X15" si="8">IFERROR(1/(P10*Q10/24),0)</f>
        <v>0</v>
      </c>
      <c r="Y10" s="23">
        <f>SUM(X10:X16)</f>
        <v>0</v>
      </c>
      <c r="AA10" s="20"/>
    </row>
    <row r="11" spans="2:27" hidden="1">
      <c r="B11" s="31"/>
      <c r="C11" s="17" t="s">
        <v>43</v>
      </c>
      <c r="D11" s="2"/>
      <c r="E11" s="2" t="s">
        <v>37</v>
      </c>
      <c r="F11" s="18">
        <f t="shared" si="1"/>
        <v>0</v>
      </c>
      <c r="G11" s="19"/>
      <c r="H11" s="19">
        <f t="shared" si="2"/>
        <v>0</v>
      </c>
      <c r="I11" s="2"/>
      <c r="J11" s="18"/>
      <c r="K11" s="18"/>
      <c r="L11" s="19"/>
      <c r="M11" s="19">
        <f t="shared" si="3"/>
        <v>0</v>
      </c>
      <c r="N11" s="19"/>
      <c r="O11" s="18"/>
      <c r="P11" s="20"/>
      <c r="Q11" s="20"/>
      <c r="R11" s="18"/>
      <c r="S11" s="19">
        <f t="shared" si="4"/>
        <v>0</v>
      </c>
      <c r="T11" s="19">
        <f t="shared" si="5"/>
        <v>0</v>
      </c>
      <c r="U11" s="21">
        <f t="shared" si="6"/>
        <v>0</v>
      </c>
      <c r="V11" s="22">
        <f t="shared" si="7"/>
        <v>0</v>
      </c>
      <c r="W11" s="23"/>
      <c r="X11" s="22">
        <f t="shared" si="8"/>
        <v>0</v>
      </c>
      <c r="Y11" s="23"/>
      <c r="AA11" s="20"/>
    </row>
    <row r="12" spans="2:27" hidden="1">
      <c r="B12" s="31"/>
      <c r="C12" s="17" t="s">
        <v>44</v>
      </c>
      <c r="D12" s="2"/>
      <c r="E12" s="2" t="s">
        <v>37</v>
      </c>
      <c r="F12" s="18">
        <f t="shared" si="1"/>
        <v>0</v>
      </c>
      <c r="G12" s="19"/>
      <c r="H12" s="19">
        <f t="shared" si="2"/>
        <v>0</v>
      </c>
      <c r="I12" s="2"/>
      <c r="J12" s="18"/>
      <c r="K12" s="18"/>
      <c r="L12" s="19"/>
      <c r="M12" s="19">
        <f t="shared" si="3"/>
        <v>0</v>
      </c>
      <c r="N12" s="19"/>
      <c r="O12" s="18"/>
      <c r="P12" s="20"/>
      <c r="Q12" s="20"/>
      <c r="R12" s="18"/>
      <c r="S12" s="19">
        <f t="shared" si="4"/>
        <v>0</v>
      </c>
      <c r="T12" s="19">
        <f t="shared" si="5"/>
        <v>0</v>
      </c>
      <c r="U12" s="21">
        <f t="shared" si="6"/>
        <v>0</v>
      </c>
      <c r="V12" s="22">
        <f t="shared" si="7"/>
        <v>0</v>
      </c>
      <c r="W12" s="23"/>
      <c r="X12" s="22">
        <f t="shared" si="8"/>
        <v>0</v>
      </c>
      <c r="Y12" s="23"/>
      <c r="AA12" s="20"/>
    </row>
    <row r="13" spans="2:27" hidden="1">
      <c r="B13" s="31"/>
      <c r="C13" s="17" t="s">
        <v>45</v>
      </c>
      <c r="D13" s="2"/>
      <c r="E13" s="2" t="s">
        <v>37</v>
      </c>
      <c r="F13" s="18">
        <f t="shared" si="1"/>
        <v>0</v>
      </c>
      <c r="G13" s="19"/>
      <c r="H13" s="19">
        <f t="shared" si="2"/>
        <v>0</v>
      </c>
      <c r="I13" s="2"/>
      <c r="J13" s="18"/>
      <c r="K13" s="18"/>
      <c r="L13" s="19"/>
      <c r="M13" s="19">
        <f t="shared" si="3"/>
        <v>0</v>
      </c>
      <c r="N13" s="19"/>
      <c r="O13" s="18"/>
      <c r="P13" s="20"/>
      <c r="Q13" s="20"/>
      <c r="R13" s="18"/>
      <c r="S13" s="19">
        <f t="shared" si="4"/>
        <v>0</v>
      </c>
      <c r="T13" s="19">
        <f t="shared" si="5"/>
        <v>0</v>
      </c>
      <c r="U13" s="21">
        <f t="shared" si="6"/>
        <v>0</v>
      </c>
      <c r="V13" s="22">
        <f t="shared" si="7"/>
        <v>0</v>
      </c>
      <c r="W13" s="23"/>
      <c r="X13" s="22">
        <f t="shared" si="8"/>
        <v>0</v>
      </c>
      <c r="Y13" s="23"/>
      <c r="AA13" s="20"/>
    </row>
    <row r="14" spans="2:27" hidden="1">
      <c r="B14" s="31"/>
      <c r="C14" s="17" t="s">
        <v>46</v>
      </c>
      <c r="D14" s="2"/>
      <c r="E14" s="2" t="s">
        <v>37</v>
      </c>
      <c r="F14" s="18">
        <f t="shared" si="1"/>
        <v>0</v>
      </c>
      <c r="G14" s="19"/>
      <c r="H14" s="19">
        <f t="shared" si="2"/>
        <v>0</v>
      </c>
      <c r="I14" s="2"/>
      <c r="J14" s="18"/>
      <c r="K14" s="18"/>
      <c r="L14" s="19"/>
      <c r="M14" s="19">
        <f t="shared" si="3"/>
        <v>0</v>
      </c>
      <c r="N14" s="19"/>
      <c r="O14" s="18"/>
      <c r="P14" s="20"/>
      <c r="Q14" s="20"/>
      <c r="R14" s="18"/>
      <c r="S14" s="19">
        <f t="shared" si="4"/>
        <v>0</v>
      </c>
      <c r="T14" s="19">
        <f t="shared" si="5"/>
        <v>0</v>
      </c>
      <c r="U14" s="21">
        <f t="shared" si="6"/>
        <v>0</v>
      </c>
      <c r="V14" s="22">
        <f t="shared" si="7"/>
        <v>0</v>
      </c>
      <c r="W14" s="23"/>
      <c r="X14" s="22">
        <f t="shared" si="8"/>
        <v>0</v>
      </c>
      <c r="Y14" s="23"/>
      <c r="AA14" s="20"/>
    </row>
    <row r="15" spans="2:27" hidden="1">
      <c r="B15" s="31"/>
      <c r="C15" s="17" t="s">
        <v>47</v>
      </c>
      <c r="D15" s="2"/>
      <c r="E15" s="2" t="s">
        <v>37</v>
      </c>
      <c r="F15" s="18">
        <f t="shared" si="1"/>
        <v>0</v>
      </c>
      <c r="G15" s="19"/>
      <c r="H15" s="19">
        <f t="shared" si="2"/>
        <v>0</v>
      </c>
      <c r="I15" s="2"/>
      <c r="J15" s="18"/>
      <c r="K15" s="18"/>
      <c r="L15" s="19"/>
      <c r="M15" s="19">
        <f t="shared" si="3"/>
        <v>0</v>
      </c>
      <c r="N15" s="19"/>
      <c r="O15" s="18"/>
      <c r="P15" s="20"/>
      <c r="Q15" s="20"/>
      <c r="R15" s="18"/>
      <c r="S15" s="19">
        <f t="shared" si="4"/>
        <v>0</v>
      </c>
      <c r="T15" s="19">
        <f t="shared" si="5"/>
        <v>0</v>
      </c>
      <c r="U15" s="21">
        <f t="shared" si="6"/>
        <v>0</v>
      </c>
      <c r="V15" s="22">
        <f t="shared" si="7"/>
        <v>0</v>
      </c>
      <c r="W15" s="23"/>
      <c r="X15" s="22">
        <f t="shared" si="8"/>
        <v>0</v>
      </c>
      <c r="Y15" s="23"/>
      <c r="AA15" s="20"/>
    </row>
    <row r="16" spans="2:27" hidden="1">
      <c r="B16" s="32"/>
      <c r="C16" s="17" t="s">
        <v>39</v>
      </c>
      <c r="D16" s="2"/>
      <c r="E16" s="24" t="s">
        <v>39</v>
      </c>
      <c r="F16" s="18"/>
      <c r="G16" s="19"/>
      <c r="H16" s="19">
        <f t="shared" si="2"/>
        <v>0</v>
      </c>
      <c r="I16" s="2"/>
      <c r="J16" s="18"/>
      <c r="K16" s="18"/>
      <c r="L16" s="19"/>
      <c r="M16" s="19">
        <f t="shared" si="3"/>
        <v>0</v>
      </c>
      <c r="N16" s="19"/>
      <c r="O16" s="18"/>
      <c r="P16" s="20"/>
      <c r="Q16" s="20"/>
      <c r="R16" s="18"/>
      <c r="S16" s="19"/>
      <c r="T16" s="19"/>
      <c r="U16" s="21"/>
      <c r="V16" s="22"/>
      <c r="W16" s="23"/>
      <c r="X16" s="22"/>
      <c r="Y16" s="23"/>
      <c r="AA16" s="20"/>
    </row>
    <row r="17" spans="2:27" ht="3.75" hidden="1" customHeight="1">
      <c r="B17" s="25" t="s">
        <v>40</v>
      </c>
      <c r="C17" s="26" t="s">
        <v>40</v>
      </c>
      <c r="D17" s="27"/>
      <c r="E17" s="27" t="s">
        <v>40</v>
      </c>
      <c r="F17" s="25" t="s">
        <v>40</v>
      </c>
      <c r="G17" s="28" t="s">
        <v>40</v>
      </c>
      <c r="H17" s="28" t="s">
        <v>40</v>
      </c>
      <c r="I17" s="27" t="s">
        <v>40</v>
      </c>
      <c r="J17" s="25" t="s">
        <v>40</v>
      </c>
      <c r="K17" s="25" t="s">
        <v>40</v>
      </c>
      <c r="L17" s="28" t="s">
        <v>40</v>
      </c>
      <c r="M17" s="28"/>
      <c r="N17" s="28" t="s">
        <v>40</v>
      </c>
      <c r="O17" s="25"/>
      <c r="P17" s="29" t="s">
        <v>40</v>
      </c>
      <c r="Q17" s="29" t="s">
        <v>40</v>
      </c>
      <c r="R17" s="25" t="s">
        <v>40</v>
      </c>
      <c r="S17" s="28" t="s">
        <v>40</v>
      </c>
      <c r="T17" s="28" t="s">
        <v>40</v>
      </c>
      <c r="U17" s="28"/>
      <c r="V17" s="28"/>
      <c r="W17" s="28" t="s">
        <v>40</v>
      </c>
      <c r="X17" s="28" t="s">
        <v>40</v>
      </c>
      <c r="Y17" s="28" t="s">
        <v>40</v>
      </c>
      <c r="AA17" s="29"/>
    </row>
    <row r="18" spans="2:27" hidden="1">
      <c r="B18" s="16" t="s">
        <v>48</v>
      </c>
      <c r="C18" s="17" t="s">
        <v>49</v>
      </c>
      <c r="D18" s="2"/>
      <c r="E18" s="2" t="s">
        <v>37</v>
      </c>
      <c r="F18" s="18">
        <f t="shared" ref="F18:F26" si="9">O18</f>
        <v>0</v>
      </c>
      <c r="G18" s="19"/>
      <c r="H18" s="19">
        <f t="shared" ref="H18:H29" si="10">F18*G18</f>
        <v>0</v>
      </c>
      <c r="I18" s="2"/>
      <c r="J18" s="18"/>
      <c r="K18" s="18"/>
      <c r="L18" s="19"/>
      <c r="M18" s="19">
        <f t="shared" ref="M18:M29" si="11">IFERROR(L18*F18,"")</f>
        <v>0</v>
      </c>
      <c r="N18" s="19"/>
      <c r="O18" s="18"/>
      <c r="P18" s="20"/>
      <c r="Q18" s="20"/>
      <c r="R18" s="18"/>
      <c r="S18" s="19">
        <f t="shared" ref="S18:S26" si="12">O18*P18*Q18</f>
        <v>0</v>
      </c>
      <c r="T18" s="19">
        <f t="shared" ref="T18:T26" si="13">S18*$T$3</f>
        <v>0</v>
      </c>
      <c r="U18" s="21">
        <f t="shared" ref="U18:U26" si="14">P18*R18*(Q18/24)</f>
        <v>0</v>
      </c>
      <c r="V18" s="22">
        <f t="shared" ref="V18:V26" si="15">IFERROR(1/U18,0)</f>
        <v>0</v>
      </c>
      <c r="W18" s="23">
        <f>SUM(V18:V29)</f>
        <v>0</v>
      </c>
      <c r="X18" s="22">
        <f t="shared" ref="X18:X26" si="16">IFERROR(1/(P18*Q18/24),0)</f>
        <v>0</v>
      </c>
      <c r="Y18" s="23">
        <f>SUM(X18:X29)</f>
        <v>0</v>
      </c>
      <c r="AA18" s="20"/>
    </row>
    <row r="19" spans="2:27" hidden="1">
      <c r="B19" s="16"/>
      <c r="C19" s="17" t="s">
        <v>50</v>
      </c>
      <c r="D19" s="2"/>
      <c r="E19" s="2" t="s">
        <v>37</v>
      </c>
      <c r="F19" s="18">
        <f t="shared" si="9"/>
        <v>0</v>
      </c>
      <c r="G19" s="19"/>
      <c r="H19" s="19">
        <f t="shared" si="10"/>
        <v>0</v>
      </c>
      <c r="I19" s="2"/>
      <c r="J19" s="18"/>
      <c r="K19" s="18"/>
      <c r="L19" s="19"/>
      <c r="M19" s="19">
        <f t="shared" si="11"/>
        <v>0</v>
      </c>
      <c r="N19" s="19"/>
      <c r="O19" s="18"/>
      <c r="P19" s="20"/>
      <c r="Q19" s="20"/>
      <c r="R19" s="18"/>
      <c r="S19" s="19">
        <f t="shared" si="12"/>
        <v>0</v>
      </c>
      <c r="T19" s="19">
        <f t="shared" si="13"/>
        <v>0</v>
      </c>
      <c r="U19" s="21">
        <f t="shared" si="14"/>
        <v>0</v>
      </c>
      <c r="V19" s="22">
        <f t="shared" si="15"/>
        <v>0</v>
      </c>
      <c r="W19" s="23"/>
      <c r="X19" s="22">
        <f t="shared" si="16"/>
        <v>0</v>
      </c>
      <c r="Y19" s="23"/>
      <c r="AA19" s="20"/>
    </row>
    <row r="20" spans="2:27" hidden="1">
      <c r="B20" s="16"/>
      <c r="C20" s="17" t="s">
        <v>51</v>
      </c>
      <c r="D20" s="2"/>
      <c r="E20" s="2" t="s">
        <v>37</v>
      </c>
      <c r="F20" s="18">
        <f t="shared" si="9"/>
        <v>0</v>
      </c>
      <c r="G20" s="19"/>
      <c r="H20" s="19">
        <f t="shared" si="10"/>
        <v>0</v>
      </c>
      <c r="I20" s="2"/>
      <c r="J20" s="18"/>
      <c r="K20" s="18"/>
      <c r="L20" s="19"/>
      <c r="M20" s="19">
        <f t="shared" si="11"/>
        <v>0</v>
      </c>
      <c r="N20" s="19"/>
      <c r="O20" s="18"/>
      <c r="P20" s="20"/>
      <c r="Q20" s="20"/>
      <c r="R20" s="18"/>
      <c r="S20" s="19">
        <f t="shared" si="12"/>
        <v>0</v>
      </c>
      <c r="T20" s="19">
        <f t="shared" si="13"/>
        <v>0</v>
      </c>
      <c r="U20" s="21">
        <f t="shared" si="14"/>
        <v>0</v>
      </c>
      <c r="V20" s="22">
        <f t="shared" si="15"/>
        <v>0</v>
      </c>
      <c r="W20" s="23"/>
      <c r="X20" s="22">
        <f t="shared" si="16"/>
        <v>0</v>
      </c>
      <c r="Y20" s="23"/>
      <c r="AA20" s="20"/>
    </row>
    <row r="21" spans="2:27" hidden="1">
      <c r="B21" s="16"/>
      <c r="C21" s="17" t="s">
        <v>52</v>
      </c>
      <c r="D21" s="2"/>
      <c r="E21" s="2" t="s">
        <v>37</v>
      </c>
      <c r="F21" s="18">
        <f t="shared" si="9"/>
        <v>0</v>
      </c>
      <c r="G21" s="19"/>
      <c r="H21" s="19">
        <f t="shared" si="10"/>
        <v>0</v>
      </c>
      <c r="I21" s="2"/>
      <c r="J21" s="18"/>
      <c r="K21" s="18"/>
      <c r="L21" s="19"/>
      <c r="M21" s="19">
        <f t="shared" si="11"/>
        <v>0</v>
      </c>
      <c r="N21" s="19"/>
      <c r="O21" s="18"/>
      <c r="P21" s="20"/>
      <c r="Q21" s="20"/>
      <c r="R21" s="18"/>
      <c r="S21" s="19">
        <f t="shared" si="12"/>
        <v>0</v>
      </c>
      <c r="T21" s="19">
        <f t="shared" si="13"/>
        <v>0</v>
      </c>
      <c r="U21" s="21">
        <f t="shared" si="14"/>
        <v>0</v>
      </c>
      <c r="V21" s="22">
        <f t="shared" si="15"/>
        <v>0</v>
      </c>
      <c r="W21" s="23"/>
      <c r="X21" s="22">
        <f t="shared" si="16"/>
        <v>0</v>
      </c>
      <c r="Y21" s="23"/>
      <c r="AA21" s="20"/>
    </row>
    <row r="22" spans="2:27" hidden="1">
      <c r="B22" s="16"/>
      <c r="C22" s="17" t="s">
        <v>53</v>
      </c>
      <c r="D22" s="2"/>
      <c r="E22" s="2" t="s">
        <v>37</v>
      </c>
      <c r="F22" s="18">
        <f t="shared" si="9"/>
        <v>0</v>
      </c>
      <c r="G22" s="19"/>
      <c r="H22" s="19">
        <f t="shared" si="10"/>
        <v>0</v>
      </c>
      <c r="I22" s="2"/>
      <c r="J22" s="18"/>
      <c r="K22" s="18"/>
      <c r="L22" s="19"/>
      <c r="M22" s="19">
        <f t="shared" si="11"/>
        <v>0</v>
      </c>
      <c r="N22" s="19"/>
      <c r="O22" s="18"/>
      <c r="P22" s="20"/>
      <c r="Q22" s="20"/>
      <c r="R22" s="18"/>
      <c r="S22" s="19">
        <f t="shared" si="12"/>
        <v>0</v>
      </c>
      <c r="T22" s="19">
        <f t="shared" si="13"/>
        <v>0</v>
      </c>
      <c r="U22" s="21">
        <f t="shared" si="14"/>
        <v>0</v>
      </c>
      <c r="V22" s="22">
        <f t="shared" si="15"/>
        <v>0</v>
      </c>
      <c r="W22" s="23"/>
      <c r="X22" s="22">
        <f t="shared" si="16"/>
        <v>0</v>
      </c>
      <c r="Y22" s="23"/>
      <c r="AA22" s="20"/>
    </row>
    <row r="23" spans="2:27" hidden="1">
      <c r="B23" s="16"/>
      <c r="C23" s="17" t="s">
        <v>54</v>
      </c>
      <c r="D23" s="2"/>
      <c r="E23" s="2" t="s">
        <v>37</v>
      </c>
      <c r="F23" s="18">
        <f t="shared" si="9"/>
        <v>0</v>
      </c>
      <c r="G23" s="19"/>
      <c r="H23" s="19">
        <f t="shared" si="10"/>
        <v>0</v>
      </c>
      <c r="I23" s="2"/>
      <c r="J23" s="18"/>
      <c r="K23" s="18"/>
      <c r="L23" s="19"/>
      <c r="M23" s="19">
        <f t="shared" si="11"/>
        <v>0</v>
      </c>
      <c r="N23" s="19"/>
      <c r="O23" s="18"/>
      <c r="P23" s="20"/>
      <c r="Q23" s="20"/>
      <c r="R23" s="18"/>
      <c r="S23" s="19">
        <f t="shared" si="12"/>
        <v>0</v>
      </c>
      <c r="T23" s="19">
        <f t="shared" si="13"/>
        <v>0</v>
      </c>
      <c r="U23" s="21">
        <f t="shared" si="14"/>
        <v>0</v>
      </c>
      <c r="V23" s="22">
        <f t="shared" si="15"/>
        <v>0</v>
      </c>
      <c r="W23" s="23"/>
      <c r="X23" s="22">
        <f t="shared" si="16"/>
        <v>0</v>
      </c>
      <c r="Y23" s="23"/>
      <c r="AA23" s="20"/>
    </row>
    <row r="24" spans="2:27" hidden="1">
      <c r="B24" s="16"/>
      <c r="C24" s="17" t="s">
        <v>55</v>
      </c>
      <c r="D24" s="2"/>
      <c r="E24" s="2" t="s">
        <v>37</v>
      </c>
      <c r="F24" s="18">
        <f t="shared" si="9"/>
        <v>0</v>
      </c>
      <c r="G24" s="19"/>
      <c r="H24" s="19">
        <f t="shared" si="10"/>
        <v>0</v>
      </c>
      <c r="I24" s="2"/>
      <c r="J24" s="18"/>
      <c r="K24" s="18"/>
      <c r="L24" s="19"/>
      <c r="M24" s="19">
        <f t="shared" si="11"/>
        <v>0</v>
      </c>
      <c r="N24" s="19"/>
      <c r="O24" s="18"/>
      <c r="P24" s="20"/>
      <c r="Q24" s="20"/>
      <c r="R24" s="18"/>
      <c r="S24" s="19">
        <f t="shared" si="12"/>
        <v>0</v>
      </c>
      <c r="T24" s="19">
        <f t="shared" si="13"/>
        <v>0</v>
      </c>
      <c r="U24" s="21">
        <f t="shared" si="14"/>
        <v>0</v>
      </c>
      <c r="V24" s="22">
        <f t="shared" si="15"/>
        <v>0</v>
      </c>
      <c r="W24" s="23"/>
      <c r="X24" s="22">
        <f t="shared" si="16"/>
        <v>0</v>
      </c>
      <c r="Y24" s="23"/>
      <c r="AA24" s="20"/>
    </row>
    <row r="25" spans="2:27" hidden="1">
      <c r="B25" s="16"/>
      <c r="C25" s="17" t="s">
        <v>56</v>
      </c>
      <c r="D25" s="2"/>
      <c r="E25" s="2" t="s">
        <v>37</v>
      </c>
      <c r="F25" s="18">
        <f t="shared" si="9"/>
        <v>0</v>
      </c>
      <c r="G25" s="19"/>
      <c r="H25" s="19">
        <f t="shared" si="10"/>
        <v>0</v>
      </c>
      <c r="I25" s="2"/>
      <c r="J25" s="18"/>
      <c r="K25" s="18"/>
      <c r="L25" s="19"/>
      <c r="M25" s="19">
        <f t="shared" si="11"/>
        <v>0</v>
      </c>
      <c r="N25" s="19"/>
      <c r="O25" s="18"/>
      <c r="P25" s="20"/>
      <c r="Q25" s="20"/>
      <c r="R25" s="18"/>
      <c r="S25" s="19">
        <f t="shared" si="12"/>
        <v>0</v>
      </c>
      <c r="T25" s="19">
        <f t="shared" si="13"/>
        <v>0</v>
      </c>
      <c r="U25" s="21">
        <f t="shared" si="14"/>
        <v>0</v>
      </c>
      <c r="V25" s="22">
        <f t="shared" si="15"/>
        <v>0</v>
      </c>
      <c r="W25" s="23"/>
      <c r="X25" s="22">
        <f t="shared" si="16"/>
        <v>0</v>
      </c>
      <c r="Y25" s="23"/>
      <c r="AA25" s="20"/>
    </row>
    <row r="26" spans="2:27" hidden="1">
      <c r="B26" s="16"/>
      <c r="C26" s="17" t="s">
        <v>57</v>
      </c>
      <c r="D26" s="2"/>
      <c r="E26" s="2" t="s">
        <v>37</v>
      </c>
      <c r="F26" s="18">
        <f t="shared" si="9"/>
        <v>0</v>
      </c>
      <c r="G26" s="19"/>
      <c r="H26" s="19">
        <f t="shared" si="10"/>
        <v>0</v>
      </c>
      <c r="I26" s="2"/>
      <c r="J26" s="18"/>
      <c r="K26" s="18"/>
      <c r="L26" s="19"/>
      <c r="M26" s="19">
        <f t="shared" si="11"/>
        <v>0</v>
      </c>
      <c r="N26" s="19"/>
      <c r="O26" s="18"/>
      <c r="P26" s="20"/>
      <c r="Q26" s="20"/>
      <c r="R26" s="18"/>
      <c r="S26" s="19">
        <f t="shared" si="12"/>
        <v>0</v>
      </c>
      <c r="T26" s="19">
        <f t="shared" si="13"/>
        <v>0</v>
      </c>
      <c r="U26" s="21">
        <f t="shared" si="14"/>
        <v>0</v>
      </c>
      <c r="V26" s="22">
        <f t="shared" si="15"/>
        <v>0</v>
      </c>
      <c r="W26" s="23"/>
      <c r="X26" s="22">
        <f t="shared" si="16"/>
        <v>0</v>
      </c>
      <c r="Y26" s="23"/>
      <c r="AA26" s="20"/>
    </row>
    <row r="27" spans="2:27" hidden="1">
      <c r="B27" s="16"/>
      <c r="C27" s="17" t="s">
        <v>58</v>
      </c>
      <c r="D27" s="2"/>
      <c r="E27" s="2" t="s">
        <v>59</v>
      </c>
      <c r="F27" s="18"/>
      <c r="G27" s="19"/>
      <c r="H27" s="19">
        <f t="shared" si="10"/>
        <v>0</v>
      </c>
      <c r="I27" s="2"/>
      <c r="J27" s="18"/>
      <c r="K27" s="18"/>
      <c r="L27" s="19"/>
      <c r="M27" s="19">
        <f t="shared" si="11"/>
        <v>0</v>
      </c>
      <c r="N27" s="19"/>
      <c r="O27" s="18"/>
      <c r="P27" s="20"/>
      <c r="Q27" s="20"/>
      <c r="R27" s="18"/>
      <c r="S27" s="19"/>
      <c r="T27" s="19"/>
      <c r="U27" s="21"/>
      <c r="V27" s="22"/>
      <c r="W27" s="23"/>
      <c r="X27" s="22"/>
      <c r="Y27" s="23"/>
      <c r="AA27" s="20"/>
    </row>
    <row r="28" spans="2:27" hidden="1">
      <c r="B28" s="16"/>
      <c r="C28" s="17" t="s">
        <v>39</v>
      </c>
      <c r="D28" s="2"/>
      <c r="E28" s="24" t="s">
        <v>39</v>
      </c>
      <c r="F28" s="18"/>
      <c r="G28" s="19"/>
      <c r="H28" s="19">
        <f t="shared" si="10"/>
        <v>0</v>
      </c>
      <c r="I28" s="2"/>
      <c r="J28" s="18"/>
      <c r="K28" s="18"/>
      <c r="L28" s="19"/>
      <c r="M28" s="19">
        <f t="shared" si="11"/>
        <v>0</v>
      </c>
      <c r="N28" s="19"/>
      <c r="O28" s="18"/>
      <c r="P28" s="20"/>
      <c r="Q28" s="20"/>
      <c r="R28" s="18"/>
      <c r="S28" s="19"/>
      <c r="T28" s="19"/>
      <c r="U28" s="21"/>
      <c r="V28" s="22"/>
      <c r="W28" s="23"/>
      <c r="X28" s="22"/>
      <c r="Y28" s="23"/>
      <c r="AA28" s="20"/>
    </row>
    <row r="29" spans="2:27" hidden="1">
      <c r="B29" s="16"/>
      <c r="C29" s="3" t="s">
        <v>60</v>
      </c>
      <c r="D29" s="2"/>
      <c r="E29" s="24" t="s">
        <v>39</v>
      </c>
      <c r="F29" s="18"/>
      <c r="G29" s="19"/>
      <c r="H29" s="19">
        <f t="shared" si="10"/>
        <v>0</v>
      </c>
      <c r="I29" s="2"/>
      <c r="J29" s="18"/>
      <c r="K29" s="18"/>
      <c r="L29" s="19"/>
      <c r="M29" s="19">
        <f t="shared" si="11"/>
        <v>0</v>
      </c>
      <c r="N29" s="19"/>
      <c r="O29" s="18"/>
      <c r="P29" s="20"/>
      <c r="Q29" s="20"/>
      <c r="R29" s="18"/>
      <c r="S29" s="19"/>
      <c r="T29" s="19"/>
      <c r="U29" s="21"/>
      <c r="V29" s="22"/>
      <c r="W29" s="23"/>
      <c r="X29" s="22"/>
      <c r="Y29" s="23"/>
      <c r="AA29" s="20"/>
    </row>
    <row r="30" spans="2:27" ht="3.75" hidden="1" customHeight="1">
      <c r="B30" s="25" t="s">
        <v>40</v>
      </c>
      <c r="C30" s="26" t="s">
        <v>40</v>
      </c>
      <c r="D30" s="27"/>
      <c r="E30" s="27" t="s">
        <v>40</v>
      </c>
      <c r="F30" s="25" t="s">
        <v>40</v>
      </c>
      <c r="G30" s="28" t="s">
        <v>40</v>
      </c>
      <c r="H30" s="28" t="s">
        <v>40</v>
      </c>
      <c r="I30" s="27" t="s">
        <v>40</v>
      </c>
      <c r="J30" s="25" t="s">
        <v>40</v>
      </c>
      <c r="K30" s="25" t="s">
        <v>40</v>
      </c>
      <c r="L30" s="28" t="s">
        <v>40</v>
      </c>
      <c r="M30" s="28"/>
      <c r="N30" s="28" t="s">
        <v>40</v>
      </c>
      <c r="O30" s="25"/>
      <c r="P30" s="29" t="s">
        <v>40</v>
      </c>
      <c r="Q30" s="29" t="s">
        <v>40</v>
      </c>
      <c r="R30" s="25" t="s">
        <v>40</v>
      </c>
      <c r="S30" s="28" t="s">
        <v>40</v>
      </c>
      <c r="T30" s="28" t="s">
        <v>40</v>
      </c>
      <c r="U30" s="28"/>
      <c r="V30" s="28"/>
      <c r="W30" s="28" t="s">
        <v>40</v>
      </c>
      <c r="X30" s="28" t="s">
        <v>40</v>
      </c>
      <c r="Y30" s="28" t="s">
        <v>40</v>
      </c>
      <c r="AA30" s="29"/>
    </row>
    <row r="31" spans="2:27" hidden="1">
      <c r="B31" s="16" t="s">
        <v>61</v>
      </c>
      <c r="C31" s="17" t="s">
        <v>62</v>
      </c>
      <c r="D31" s="2"/>
      <c r="E31" s="2" t="s">
        <v>37</v>
      </c>
      <c r="F31" s="18">
        <f t="shared" ref="F31:F44" si="17">O31</f>
        <v>0</v>
      </c>
      <c r="G31" s="19"/>
      <c r="H31" s="19">
        <f t="shared" ref="H31:H46" si="18">F31*G31</f>
        <v>0</v>
      </c>
      <c r="I31" s="2"/>
      <c r="J31" s="18"/>
      <c r="K31" s="18"/>
      <c r="L31" s="19"/>
      <c r="M31" s="19">
        <f t="shared" ref="M31:M46" si="19">IFERROR(L31*F31,"")</f>
        <v>0</v>
      </c>
      <c r="N31" s="19"/>
      <c r="O31" s="18"/>
      <c r="P31" s="33"/>
      <c r="Q31" s="20"/>
      <c r="R31" s="18"/>
      <c r="S31" s="19">
        <f t="shared" ref="S31:S44" si="20">O31*P31*Q31</f>
        <v>0</v>
      </c>
      <c r="T31" s="19">
        <f t="shared" ref="T31:T44" si="21">S31*$T$3</f>
        <v>0</v>
      </c>
      <c r="U31" s="21">
        <f t="shared" ref="U31:U44" si="22">P31*R31*(Q31/24)</f>
        <v>0</v>
      </c>
      <c r="V31" s="22">
        <f t="shared" ref="V31:V44" si="23">IFERROR(1/U31,0)</f>
        <v>0</v>
      </c>
      <c r="W31" s="23">
        <f>SUM(V31:V46)</f>
        <v>0</v>
      </c>
      <c r="X31" s="22">
        <f t="shared" ref="X31:X44" si="24">IFERROR(1/(P31*Q31/24),0)</f>
        <v>0</v>
      </c>
      <c r="Y31" s="23">
        <f>SUM(X31:X46)</f>
        <v>0</v>
      </c>
      <c r="AA31" s="33"/>
    </row>
    <row r="32" spans="2:27" hidden="1">
      <c r="B32" s="16"/>
      <c r="C32" s="17" t="s">
        <v>63</v>
      </c>
      <c r="D32" s="2"/>
      <c r="E32" s="2" t="s">
        <v>37</v>
      </c>
      <c r="F32" s="18">
        <f t="shared" si="17"/>
        <v>0</v>
      </c>
      <c r="G32" s="19"/>
      <c r="H32" s="19">
        <f t="shared" si="18"/>
        <v>0</v>
      </c>
      <c r="I32" s="2"/>
      <c r="J32" s="18"/>
      <c r="K32" s="18"/>
      <c r="L32" s="19"/>
      <c r="M32" s="19">
        <f t="shared" si="19"/>
        <v>0</v>
      </c>
      <c r="N32" s="19"/>
      <c r="O32" s="18"/>
      <c r="P32" s="20"/>
      <c r="Q32" s="20"/>
      <c r="R32" s="18"/>
      <c r="S32" s="19">
        <f t="shared" si="20"/>
        <v>0</v>
      </c>
      <c r="T32" s="19">
        <f t="shared" si="21"/>
        <v>0</v>
      </c>
      <c r="U32" s="21">
        <f t="shared" si="22"/>
        <v>0</v>
      </c>
      <c r="V32" s="22">
        <f t="shared" si="23"/>
        <v>0</v>
      </c>
      <c r="W32" s="23"/>
      <c r="X32" s="22">
        <f t="shared" si="24"/>
        <v>0</v>
      </c>
      <c r="Y32" s="23"/>
      <c r="AA32" s="20"/>
    </row>
    <row r="33" spans="2:27" hidden="1">
      <c r="B33" s="16"/>
      <c r="C33" s="17" t="s">
        <v>64</v>
      </c>
      <c r="D33" s="2"/>
      <c r="E33" s="2" t="s">
        <v>37</v>
      </c>
      <c r="F33" s="18">
        <f t="shared" si="17"/>
        <v>0</v>
      </c>
      <c r="G33" s="19"/>
      <c r="H33" s="19">
        <f t="shared" si="18"/>
        <v>0</v>
      </c>
      <c r="J33" s="18"/>
      <c r="K33" s="18"/>
      <c r="L33" s="19"/>
      <c r="M33" s="19">
        <f t="shared" si="19"/>
        <v>0</v>
      </c>
      <c r="N33" s="19"/>
      <c r="O33" s="18"/>
      <c r="P33" s="20"/>
      <c r="Q33" s="20"/>
      <c r="R33" s="18"/>
      <c r="S33" s="19">
        <f t="shared" si="20"/>
        <v>0</v>
      </c>
      <c r="T33" s="19">
        <f t="shared" si="21"/>
        <v>0</v>
      </c>
      <c r="U33" s="21">
        <f t="shared" si="22"/>
        <v>0</v>
      </c>
      <c r="V33" s="22">
        <f t="shared" si="23"/>
        <v>0</v>
      </c>
      <c r="W33" s="23"/>
      <c r="X33" s="22">
        <f t="shared" si="24"/>
        <v>0</v>
      </c>
      <c r="Y33" s="23"/>
      <c r="AA33" s="20"/>
    </row>
    <row r="34" spans="2:27" hidden="1">
      <c r="B34" s="16"/>
      <c r="C34" s="17" t="s">
        <v>65</v>
      </c>
      <c r="D34" s="2"/>
      <c r="E34" s="2" t="s">
        <v>37</v>
      </c>
      <c r="F34" s="18">
        <f t="shared" si="17"/>
        <v>0</v>
      </c>
      <c r="G34" s="19"/>
      <c r="H34" s="19">
        <f t="shared" si="18"/>
        <v>0</v>
      </c>
      <c r="I34" s="2"/>
      <c r="J34" s="18"/>
      <c r="K34" s="18"/>
      <c r="L34" s="19"/>
      <c r="M34" s="19">
        <f t="shared" si="19"/>
        <v>0</v>
      </c>
      <c r="N34" s="19"/>
      <c r="O34" s="18"/>
      <c r="P34" s="20"/>
      <c r="Q34" s="20"/>
      <c r="R34" s="18"/>
      <c r="S34" s="19">
        <f t="shared" si="20"/>
        <v>0</v>
      </c>
      <c r="T34" s="19">
        <f t="shared" si="21"/>
        <v>0</v>
      </c>
      <c r="U34" s="21">
        <f t="shared" si="22"/>
        <v>0</v>
      </c>
      <c r="V34" s="22">
        <f t="shared" si="23"/>
        <v>0</v>
      </c>
      <c r="W34" s="23"/>
      <c r="X34" s="22">
        <f t="shared" si="24"/>
        <v>0</v>
      </c>
      <c r="Y34" s="23"/>
      <c r="AA34" s="20"/>
    </row>
    <row r="35" spans="2:27" hidden="1">
      <c r="B35" s="16"/>
      <c r="C35" s="17" t="s">
        <v>66</v>
      </c>
      <c r="D35" s="2"/>
      <c r="E35" s="2" t="s">
        <v>37</v>
      </c>
      <c r="F35" s="18">
        <f t="shared" si="17"/>
        <v>0</v>
      </c>
      <c r="G35" s="19"/>
      <c r="H35" s="19">
        <f t="shared" si="18"/>
        <v>0</v>
      </c>
      <c r="I35" s="2"/>
      <c r="J35" s="18"/>
      <c r="K35" s="18"/>
      <c r="L35" s="19"/>
      <c r="M35" s="19">
        <f t="shared" si="19"/>
        <v>0</v>
      </c>
      <c r="N35" s="19"/>
      <c r="O35" s="18"/>
      <c r="P35" s="20"/>
      <c r="Q35" s="20"/>
      <c r="R35" s="18"/>
      <c r="S35" s="19">
        <f t="shared" si="20"/>
        <v>0</v>
      </c>
      <c r="T35" s="19">
        <f t="shared" si="21"/>
        <v>0</v>
      </c>
      <c r="U35" s="21">
        <f t="shared" si="22"/>
        <v>0</v>
      </c>
      <c r="V35" s="22">
        <f t="shared" si="23"/>
        <v>0</v>
      </c>
      <c r="W35" s="23"/>
      <c r="X35" s="22">
        <f t="shared" si="24"/>
        <v>0</v>
      </c>
      <c r="Y35" s="23"/>
      <c r="AA35" s="20"/>
    </row>
    <row r="36" spans="2:27" hidden="1">
      <c r="B36" s="16"/>
      <c r="C36" s="17" t="s">
        <v>67</v>
      </c>
      <c r="D36" s="2"/>
      <c r="E36" s="2" t="s">
        <v>37</v>
      </c>
      <c r="F36" s="18">
        <f t="shared" si="17"/>
        <v>0</v>
      </c>
      <c r="G36" s="19"/>
      <c r="H36" s="19">
        <f t="shared" si="18"/>
        <v>0</v>
      </c>
      <c r="I36" s="2"/>
      <c r="J36" s="18"/>
      <c r="K36" s="18"/>
      <c r="L36" s="19"/>
      <c r="M36" s="19">
        <f t="shared" si="19"/>
        <v>0</v>
      </c>
      <c r="N36" s="19"/>
      <c r="O36" s="18"/>
      <c r="P36" s="20"/>
      <c r="Q36" s="20"/>
      <c r="R36" s="18"/>
      <c r="S36" s="19">
        <f t="shared" si="20"/>
        <v>0</v>
      </c>
      <c r="T36" s="19">
        <f t="shared" si="21"/>
        <v>0</v>
      </c>
      <c r="U36" s="21">
        <f t="shared" si="22"/>
        <v>0</v>
      </c>
      <c r="V36" s="22">
        <f t="shared" si="23"/>
        <v>0</v>
      </c>
      <c r="W36" s="23"/>
      <c r="X36" s="22">
        <f t="shared" si="24"/>
        <v>0</v>
      </c>
      <c r="Y36" s="23"/>
      <c r="AA36" s="20"/>
    </row>
    <row r="37" spans="2:27" hidden="1">
      <c r="B37" s="16"/>
      <c r="C37" s="34" t="s">
        <v>68</v>
      </c>
      <c r="D37" s="2"/>
      <c r="E37" s="2" t="s">
        <v>37</v>
      </c>
      <c r="F37" s="18">
        <f t="shared" si="17"/>
        <v>0</v>
      </c>
      <c r="G37" s="19"/>
      <c r="H37" s="19">
        <f t="shared" si="18"/>
        <v>0</v>
      </c>
      <c r="I37" s="2"/>
      <c r="J37" s="18"/>
      <c r="K37" s="18"/>
      <c r="L37" s="19"/>
      <c r="M37" s="19">
        <f t="shared" si="19"/>
        <v>0</v>
      </c>
      <c r="N37" s="19"/>
      <c r="O37" s="18"/>
      <c r="P37" s="20"/>
      <c r="Q37" s="20"/>
      <c r="R37" s="18"/>
      <c r="S37" s="19">
        <f t="shared" si="20"/>
        <v>0</v>
      </c>
      <c r="T37" s="19">
        <f t="shared" si="21"/>
        <v>0</v>
      </c>
      <c r="U37" s="21">
        <f t="shared" si="22"/>
        <v>0</v>
      </c>
      <c r="V37" s="22">
        <f t="shared" si="23"/>
        <v>0</v>
      </c>
      <c r="W37" s="23"/>
      <c r="X37" s="22">
        <f t="shared" si="24"/>
        <v>0</v>
      </c>
      <c r="Y37" s="23"/>
      <c r="AA37" s="20"/>
    </row>
    <row r="38" spans="2:27" hidden="1">
      <c r="B38" s="16"/>
      <c r="C38" s="17" t="s">
        <v>69</v>
      </c>
      <c r="D38" s="2"/>
      <c r="E38" s="2" t="s">
        <v>37</v>
      </c>
      <c r="F38" s="18">
        <f t="shared" si="17"/>
        <v>0</v>
      </c>
      <c r="G38" s="19"/>
      <c r="H38" s="19">
        <f t="shared" si="18"/>
        <v>0</v>
      </c>
      <c r="I38" s="2"/>
      <c r="J38" s="18"/>
      <c r="K38" s="18"/>
      <c r="L38" s="19"/>
      <c r="M38" s="19">
        <f t="shared" si="19"/>
        <v>0</v>
      </c>
      <c r="N38" s="19"/>
      <c r="O38" s="18"/>
      <c r="P38" s="20"/>
      <c r="Q38" s="20"/>
      <c r="R38" s="18"/>
      <c r="S38" s="19">
        <f t="shared" si="20"/>
        <v>0</v>
      </c>
      <c r="T38" s="19">
        <f t="shared" si="21"/>
        <v>0</v>
      </c>
      <c r="U38" s="21">
        <f t="shared" si="22"/>
        <v>0</v>
      </c>
      <c r="V38" s="22">
        <f t="shared" si="23"/>
        <v>0</v>
      </c>
      <c r="W38" s="23"/>
      <c r="X38" s="22">
        <f t="shared" si="24"/>
        <v>0</v>
      </c>
      <c r="Y38" s="23"/>
      <c r="AA38" s="20"/>
    </row>
    <row r="39" spans="2:27" hidden="1">
      <c r="B39" s="16"/>
      <c r="C39" s="17" t="s">
        <v>70</v>
      </c>
      <c r="D39" s="2"/>
      <c r="E39" s="2" t="s">
        <v>37</v>
      </c>
      <c r="F39" s="18">
        <f t="shared" si="17"/>
        <v>0</v>
      </c>
      <c r="G39" s="19"/>
      <c r="H39" s="19">
        <f t="shared" si="18"/>
        <v>0</v>
      </c>
      <c r="I39" s="2"/>
      <c r="J39" s="18"/>
      <c r="K39" s="18"/>
      <c r="L39" s="19"/>
      <c r="M39" s="19">
        <f t="shared" si="19"/>
        <v>0</v>
      </c>
      <c r="N39" s="19"/>
      <c r="O39" s="18"/>
      <c r="P39" s="20"/>
      <c r="Q39" s="20"/>
      <c r="R39" s="18"/>
      <c r="S39" s="19">
        <f t="shared" si="20"/>
        <v>0</v>
      </c>
      <c r="T39" s="19">
        <f t="shared" si="21"/>
        <v>0</v>
      </c>
      <c r="U39" s="21">
        <f t="shared" si="22"/>
        <v>0</v>
      </c>
      <c r="V39" s="22">
        <f t="shared" si="23"/>
        <v>0</v>
      </c>
      <c r="W39" s="23"/>
      <c r="X39" s="22">
        <f t="shared" si="24"/>
        <v>0</v>
      </c>
      <c r="Y39" s="23"/>
      <c r="AA39" s="20"/>
    </row>
    <row r="40" spans="2:27" hidden="1">
      <c r="B40" s="16"/>
      <c r="C40" s="17" t="s">
        <v>71</v>
      </c>
      <c r="D40" s="2"/>
      <c r="E40" s="2" t="s">
        <v>37</v>
      </c>
      <c r="F40" s="18">
        <f t="shared" si="17"/>
        <v>0</v>
      </c>
      <c r="G40" s="19"/>
      <c r="H40" s="19">
        <f t="shared" si="18"/>
        <v>0</v>
      </c>
      <c r="I40" s="2"/>
      <c r="J40" s="18"/>
      <c r="K40" s="18"/>
      <c r="L40" s="19"/>
      <c r="M40" s="19">
        <f t="shared" si="19"/>
        <v>0</v>
      </c>
      <c r="N40" s="19"/>
      <c r="O40" s="18"/>
      <c r="P40" s="20"/>
      <c r="Q40" s="20"/>
      <c r="R40" s="18"/>
      <c r="S40" s="19">
        <f t="shared" si="20"/>
        <v>0</v>
      </c>
      <c r="T40" s="19">
        <f t="shared" si="21"/>
        <v>0</v>
      </c>
      <c r="U40" s="21">
        <f t="shared" si="22"/>
        <v>0</v>
      </c>
      <c r="V40" s="22">
        <f t="shared" si="23"/>
        <v>0</v>
      </c>
      <c r="W40" s="23"/>
      <c r="X40" s="22">
        <f t="shared" si="24"/>
        <v>0</v>
      </c>
      <c r="Y40" s="23"/>
      <c r="AA40" s="20"/>
    </row>
    <row r="41" spans="2:27" hidden="1">
      <c r="B41" s="16"/>
      <c r="C41" s="17" t="s">
        <v>72</v>
      </c>
      <c r="D41" s="2"/>
      <c r="E41" s="2" t="s">
        <v>37</v>
      </c>
      <c r="F41" s="18">
        <f t="shared" si="17"/>
        <v>0</v>
      </c>
      <c r="G41" s="19"/>
      <c r="H41" s="19">
        <f t="shared" si="18"/>
        <v>0</v>
      </c>
      <c r="I41" s="2"/>
      <c r="J41" s="18"/>
      <c r="K41" s="18"/>
      <c r="L41" s="19"/>
      <c r="M41" s="19">
        <f t="shared" si="19"/>
        <v>0</v>
      </c>
      <c r="N41" s="19"/>
      <c r="O41" s="18"/>
      <c r="P41" s="20"/>
      <c r="Q41" s="20"/>
      <c r="R41" s="18"/>
      <c r="S41" s="19">
        <f t="shared" si="20"/>
        <v>0</v>
      </c>
      <c r="T41" s="19">
        <f t="shared" si="21"/>
        <v>0</v>
      </c>
      <c r="U41" s="21">
        <f t="shared" si="22"/>
        <v>0</v>
      </c>
      <c r="V41" s="22">
        <f t="shared" si="23"/>
        <v>0</v>
      </c>
      <c r="W41" s="23"/>
      <c r="X41" s="22">
        <f t="shared" si="24"/>
        <v>0</v>
      </c>
      <c r="Y41" s="23"/>
      <c r="AA41" s="20"/>
    </row>
    <row r="42" spans="2:27" hidden="1">
      <c r="B42" s="16"/>
      <c r="C42" s="17" t="s">
        <v>73</v>
      </c>
      <c r="D42" s="2"/>
      <c r="E42" s="2" t="s">
        <v>37</v>
      </c>
      <c r="F42" s="18">
        <f t="shared" si="17"/>
        <v>0</v>
      </c>
      <c r="G42" s="19"/>
      <c r="H42" s="19">
        <f t="shared" si="18"/>
        <v>0</v>
      </c>
      <c r="I42" s="2"/>
      <c r="J42" s="18"/>
      <c r="K42" s="18"/>
      <c r="L42" s="19"/>
      <c r="M42" s="19">
        <f t="shared" si="19"/>
        <v>0</v>
      </c>
      <c r="N42" s="19"/>
      <c r="O42" s="18"/>
      <c r="P42" s="20"/>
      <c r="Q42" s="20"/>
      <c r="R42" s="18"/>
      <c r="S42" s="19">
        <f t="shared" si="20"/>
        <v>0</v>
      </c>
      <c r="T42" s="19">
        <f t="shared" si="21"/>
        <v>0</v>
      </c>
      <c r="U42" s="21">
        <f t="shared" si="22"/>
        <v>0</v>
      </c>
      <c r="V42" s="22">
        <f t="shared" si="23"/>
        <v>0</v>
      </c>
      <c r="W42" s="23"/>
      <c r="X42" s="22">
        <f t="shared" si="24"/>
        <v>0</v>
      </c>
      <c r="Y42" s="23"/>
      <c r="AA42" s="20"/>
    </row>
    <row r="43" spans="2:27" hidden="1">
      <c r="B43" s="16"/>
      <c r="C43" s="17" t="s">
        <v>74</v>
      </c>
      <c r="D43" s="2"/>
      <c r="E43" s="2" t="s">
        <v>37</v>
      </c>
      <c r="F43" s="18">
        <f t="shared" si="17"/>
        <v>0</v>
      </c>
      <c r="G43" s="19"/>
      <c r="H43" s="19">
        <f t="shared" si="18"/>
        <v>0</v>
      </c>
      <c r="I43" s="2"/>
      <c r="J43" s="18"/>
      <c r="K43" s="18"/>
      <c r="L43" s="19"/>
      <c r="M43" s="19">
        <f t="shared" si="19"/>
        <v>0</v>
      </c>
      <c r="N43" s="19"/>
      <c r="O43" s="18"/>
      <c r="P43" s="20"/>
      <c r="Q43" s="20"/>
      <c r="R43" s="18"/>
      <c r="S43" s="19">
        <f t="shared" si="20"/>
        <v>0</v>
      </c>
      <c r="T43" s="19">
        <f t="shared" si="21"/>
        <v>0</v>
      </c>
      <c r="U43" s="21">
        <f t="shared" si="22"/>
        <v>0</v>
      </c>
      <c r="V43" s="22">
        <f t="shared" si="23"/>
        <v>0</v>
      </c>
      <c r="W43" s="23"/>
      <c r="X43" s="22">
        <f t="shared" si="24"/>
        <v>0</v>
      </c>
      <c r="Y43" s="23"/>
      <c r="AA43" s="20"/>
    </row>
    <row r="44" spans="2:27" hidden="1">
      <c r="B44" s="16"/>
      <c r="C44" s="17" t="s">
        <v>75</v>
      </c>
      <c r="D44" s="2"/>
      <c r="E44" s="2" t="s">
        <v>37</v>
      </c>
      <c r="F44" s="18">
        <f t="shared" si="17"/>
        <v>0</v>
      </c>
      <c r="G44" s="19"/>
      <c r="H44" s="19">
        <f t="shared" si="18"/>
        <v>0</v>
      </c>
      <c r="I44" s="2"/>
      <c r="J44" s="18"/>
      <c r="K44" s="18"/>
      <c r="L44" s="19"/>
      <c r="M44" s="19">
        <f t="shared" si="19"/>
        <v>0</v>
      </c>
      <c r="N44" s="19"/>
      <c r="O44" s="18"/>
      <c r="P44" s="20"/>
      <c r="Q44" s="20"/>
      <c r="R44" s="18"/>
      <c r="S44" s="19">
        <f t="shared" si="20"/>
        <v>0</v>
      </c>
      <c r="T44" s="19">
        <f t="shared" si="21"/>
        <v>0</v>
      </c>
      <c r="U44" s="21">
        <f t="shared" si="22"/>
        <v>0</v>
      </c>
      <c r="V44" s="22">
        <f t="shared" si="23"/>
        <v>0</v>
      </c>
      <c r="W44" s="23"/>
      <c r="X44" s="22">
        <f t="shared" si="24"/>
        <v>0</v>
      </c>
      <c r="Y44" s="23"/>
      <c r="AA44" s="20"/>
    </row>
    <row r="45" spans="2:27" hidden="1">
      <c r="B45" s="16"/>
      <c r="C45" s="17" t="s">
        <v>76</v>
      </c>
      <c r="D45" s="2"/>
      <c r="E45" s="2" t="s">
        <v>59</v>
      </c>
      <c r="F45" s="18"/>
      <c r="G45" s="19"/>
      <c r="H45" s="19">
        <f t="shared" si="18"/>
        <v>0</v>
      </c>
      <c r="I45" s="2"/>
      <c r="J45" s="18"/>
      <c r="K45" s="18"/>
      <c r="L45" s="19"/>
      <c r="M45" s="19">
        <f t="shared" si="19"/>
        <v>0</v>
      </c>
      <c r="N45" s="19"/>
      <c r="O45" s="18"/>
      <c r="P45" s="20"/>
      <c r="Q45" s="20"/>
      <c r="R45" s="18"/>
      <c r="S45" s="19"/>
      <c r="T45" s="19"/>
      <c r="U45" s="21"/>
      <c r="V45" s="22"/>
      <c r="W45" s="23"/>
      <c r="X45" s="22"/>
      <c r="Y45" s="23"/>
      <c r="AA45" s="20"/>
    </row>
    <row r="46" spans="2:27" hidden="1">
      <c r="B46" s="16"/>
      <c r="C46" s="17" t="s">
        <v>39</v>
      </c>
      <c r="D46" s="2"/>
      <c r="E46" s="24" t="s">
        <v>39</v>
      </c>
      <c r="F46" s="18"/>
      <c r="G46" s="19"/>
      <c r="H46" s="19">
        <f t="shared" si="18"/>
        <v>0</v>
      </c>
      <c r="I46" s="2"/>
      <c r="J46" s="18"/>
      <c r="K46" s="18"/>
      <c r="L46" s="19"/>
      <c r="M46" s="19">
        <f t="shared" si="19"/>
        <v>0</v>
      </c>
      <c r="N46" s="19"/>
      <c r="O46" s="18"/>
      <c r="P46" s="20"/>
      <c r="Q46" s="20"/>
      <c r="R46" s="18"/>
      <c r="S46" s="19"/>
      <c r="T46" s="19"/>
      <c r="U46" s="21"/>
      <c r="V46" s="22"/>
      <c r="W46" s="23"/>
      <c r="X46" s="22"/>
      <c r="Y46" s="23"/>
      <c r="AA46" s="20"/>
    </row>
    <row r="47" spans="2:27" ht="3.75" hidden="1" customHeight="1">
      <c r="B47" s="25" t="s">
        <v>40</v>
      </c>
      <c r="C47" s="26" t="s">
        <v>40</v>
      </c>
      <c r="D47" s="27"/>
      <c r="E47" s="27" t="s">
        <v>40</v>
      </c>
      <c r="F47" s="25" t="s">
        <v>40</v>
      </c>
      <c r="G47" s="28" t="s">
        <v>40</v>
      </c>
      <c r="H47" s="28" t="s">
        <v>40</v>
      </c>
      <c r="I47" s="27" t="s">
        <v>40</v>
      </c>
      <c r="J47" s="25" t="s">
        <v>40</v>
      </c>
      <c r="K47" s="25" t="s">
        <v>40</v>
      </c>
      <c r="L47" s="28" t="s">
        <v>40</v>
      </c>
      <c r="M47" s="28"/>
      <c r="N47" s="28" t="s">
        <v>40</v>
      </c>
      <c r="O47" s="25"/>
      <c r="P47" s="29" t="s">
        <v>40</v>
      </c>
      <c r="Q47" s="29" t="s">
        <v>40</v>
      </c>
      <c r="R47" s="25" t="s">
        <v>40</v>
      </c>
      <c r="S47" s="28" t="s">
        <v>40</v>
      </c>
      <c r="T47" s="28" t="s">
        <v>40</v>
      </c>
      <c r="U47" s="28"/>
      <c r="V47" s="28"/>
      <c r="W47" s="28" t="s">
        <v>40</v>
      </c>
      <c r="X47" s="28" t="s">
        <v>40</v>
      </c>
      <c r="Y47" s="28" t="s">
        <v>40</v>
      </c>
      <c r="AA47" s="29"/>
    </row>
    <row r="48" spans="2:27" hidden="1">
      <c r="B48" s="16" t="s">
        <v>77</v>
      </c>
      <c r="C48" s="17" t="s">
        <v>78</v>
      </c>
      <c r="D48" s="2"/>
      <c r="E48" s="2" t="s">
        <v>37</v>
      </c>
      <c r="F48" s="18">
        <f t="shared" ref="F48:F53" si="25">O48</f>
        <v>0</v>
      </c>
      <c r="G48" s="19"/>
      <c r="H48" s="19">
        <f t="shared" ref="H48:H58" si="26">F48*G48</f>
        <v>0</v>
      </c>
      <c r="I48" s="2"/>
      <c r="J48" s="18"/>
      <c r="K48" s="18"/>
      <c r="L48" s="19"/>
      <c r="M48" s="19">
        <f t="shared" ref="M48:M56" si="27">IFERROR(L48*F48,"")</f>
        <v>0</v>
      </c>
      <c r="N48" s="19"/>
      <c r="O48" s="18"/>
      <c r="P48" s="20"/>
      <c r="Q48" s="20"/>
      <c r="R48" s="18"/>
      <c r="S48" s="19">
        <f t="shared" ref="S48:S53" si="28">O48*P48*Q48</f>
        <v>0</v>
      </c>
      <c r="T48" s="19">
        <f t="shared" ref="T48:T53" si="29">S48*$T$3</f>
        <v>0</v>
      </c>
      <c r="U48" s="21">
        <f t="shared" ref="U48:U53" si="30">P48*R48*(Q48/24)</f>
        <v>0</v>
      </c>
      <c r="V48" s="22">
        <f t="shared" ref="V48:V53" si="31">IFERROR(1/U48,0)</f>
        <v>0</v>
      </c>
      <c r="W48" s="23">
        <f>SUM(V48:V58)</f>
        <v>7.8895463510848127E-2</v>
      </c>
      <c r="X48" s="22">
        <f t="shared" ref="X48:X53" si="32">IFERROR(1/(P48*Q48/24),0)</f>
        <v>0</v>
      </c>
      <c r="Y48" s="23">
        <f>SUM(X48:X58)</f>
        <v>0.15779092702169625</v>
      </c>
      <c r="AA48" s="20"/>
    </row>
    <row r="49" spans="2:27" ht="46.5">
      <c r="B49" s="16"/>
      <c r="C49" s="35" t="s">
        <v>79</v>
      </c>
      <c r="D49" s="36" t="s">
        <v>80</v>
      </c>
      <c r="E49" s="36" t="s">
        <v>37</v>
      </c>
      <c r="F49" s="37">
        <f>O49</f>
        <v>1</v>
      </c>
      <c r="G49" s="38">
        <v>16320000</v>
      </c>
      <c r="H49" s="39">
        <f t="shared" si="26"/>
        <v>16320000</v>
      </c>
      <c r="I49" s="36" t="s">
        <v>81</v>
      </c>
      <c r="J49" s="37" t="s">
        <v>82</v>
      </c>
      <c r="K49" s="40" t="s">
        <v>83</v>
      </c>
      <c r="L49" s="38">
        <v>425000</v>
      </c>
      <c r="M49" s="38">
        <f>L49*F49</f>
        <v>425000</v>
      </c>
      <c r="N49" s="38"/>
      <c r="O49" s="37">
        <v>1</v>
      </c>
      <c r="P49" s="41">
        <f>9</f>
        <v>9</v>
      </c>
      <c r="Q49" s="41">
        <v>16.899999999999999</v>
      </c>
      <c r="R49" s="37">
        <v>2</v>
      </c>
      <c r="S49" s="38">
        <f t="shared" si="28"/>
        <v>152.1</v>
      </c>
      <c r="T49" s="38">
        <f t="shared" si="29"/>
        <v>4563</v>
      </c>
      <c r="U49" s="42">
        <f t="shared" si="30"/>
        <v>12.674999999999999</v>
      </c>
      <c r="V49" s="43">
        <f t="shared" si="31"/>
        <v>7.8895463510848127E-2</v>
      </c>
      <c r="W49" s="44"/>
      <c r="X49" s="43">
        <f t="shared" si="32"/>
        <v>0.15779092702169625</v>
      </c>
      <c r="Y49" s="44"/>
      <c r="Z49" s="45"/>
      <c r="AA49" s="46" t="s">
        <v>84</v>
      </c>
    </row>
    <row r="50" spans="2:27" hidden="1">
      <c r="B50" s="16"/>
      <c r="C50" s="17" t="s">
        <v>85</v>
      </c>
      <c r="D50" s="2"/>
      <c r="E50" s="2" t="s">
        <v>37</v>
      </c>
      <c r="F50" s="18">
        <f t="shared" si="25"/>
        <v>0</v>
      </c>
      <c r="G50" s="19"/>
      <c r="H50" s="19">
        <f t="shared" si="26"/>
        <v>0</v>
      </c>
      <c r="I50" s="2"/>
      <c r="J50" s="18"/>
      <c r="K50" s="18"/>
      <c r="L50" s="19"/>
      <c r="M50" s="19">
        <f t="shared" si="27"/>
        <v>0</v>
      </c>
      <c r="N50" s="19"/>
      <c r="O50" s="18"/>
      <c r="P50" s="20"/>
      <c r="Q50" s="20"/>
      <c r="R50" s="18"/>
      <c r="S50" s="19">
        <f t="shared" si="28"/>
        <v>0</v>
      </c>
      <c r="T50" s="19">
        <f t="shared" si="29"/>
        <v>0</v>
      </c>
      <c r="U50" s="21">
        <f t="shared" si="30"/>
        <v>0</v>
      </c>
      <c r="V50" s="22">
        <f t="shared" si="31"/>
        <v>0</v>
      </c>
      <c r="W50" s="23"/>
      <c r="X50" s="22">
        <f t="shared" si="32"/>
        <v>0</v>
      </c>
      <c r="Y50" s="23"/>
      <c r="AA50" s="20"/>
    </row>
    <row r="51" spans="2:27" hidden="1">
      <c r="B51" s="16"/>
      <c r="C51" s="17" t="s">
        <v>86</v>
      </c>
      <c r="D51" s="2"/>
      <c r="E51" s="2" t="s">
        <v>37</v>
      </c>
      <c r="F51" s="18">
        <f t="shared" si="25"/>
        <v>0</v>
      </c>
      <c r="G51" s="19"/>
      <c r="H51" s="19">
        <f t="shared" si="26"/>
        <v>0</v>
      </c>
      <c r="I51" s="2"/>
      <c r="J51" s="18"/>
      <c r="K51" s="18"/>
      <c r="L51" s="19"/>
      <c r="M51" s="19">
        <f t="shared" si="27"/>
        <v>0</v>
      </c>
      <c r="N51" s="19"/>
      <c r="O51" s="18"/>
      <c r="P51" s="20"/>
      <c r="Q51" s="20"/>
      <c r="R51" s="18"/>
      <c r="S51" s="19">
        <f t="shared" si="28"/>
        <v>0</v>
      </c>
      <c r="T51" s="19">
        <f t="shared" si="29"/>
        <v>0</v>
      </c>
      <c r="U51" s="21">
        <f t="shared" si="30"/>
        <v>0</v>
      </c>
      <c r="V51" s="22">
        <f t="shared" si="31"/>
        <v>0</v>
      </c>
      <c r="W51" s="23"/>
      <c r="X51" s="22">
        <f t="shared" si="32"/>
        <v>0</v>
      </c>
      <c r="Y51" s="23"/>
      <c r="AA51" s="20"/>
    </row>
    <row r="52" spans="2:27" hidden="1">
      <c r="B52" s="16"/>
      <c r="C52" s="17" t="s">
        <v>87</v>
      </c>
      <c r="D52" s="2"/>
      <c r="E52" s="2" t="s">
        <v>37</v>
      </c>
      <c r="F52" s="18">
        <f t="shared" si="25"/>
        <v>0</v>
      </c>
      <c r="G52" s="19"/>
      <c r="H52" s="19">
        <f t="shared" si="26"/>
        <v>0</v>
      </c>
      <c r="I52" s="2"/>
      <c r="J52" s="18"/>
      <c r="K52" s="18"/>
      <c r="L52" s="19"/>
      <c r="M52" s="19">
        <f t="shared" si="27"/>
        <v>0</v>
      </c>
      <c r="N52" s="19"/>
      <c r="O52" s="18"/>
      <c r="P52" s="20"/>
      <c r="Q52" s="20"/>
      <c r="R52" s="18"/>
      <c r="S52" s="19">
        <f t="shared" si="28"/>
        <v>0</v>
      </c>
      <c r="T52" s="19">
        <f t="shared" si="29"/>
        <v>0</v>
      </c>
      <c r="U52" s="21">
        <f t="shared" si="30"/>
        <v>0</v>
      </c>
      <c r="V52" s="22">
        <f t="shared" si="31"/>
        <v>0</v>
      </c>
      <c r="W52" s="23"/>
      <c r="X52" s="22">
        <f t="shared" si="32"/>
        <v>0</v>
      </c>
      <c r="Y52" s="23"/>
      <c r="AA52" s="20"/>
    </row>
    <row r="53" spans="2:27" hidden="1">
      <c r="B53" s="16"/>
      <c r="C53" s="17" t="s">
        <v>88</v>
      </c>
      <c r="D53" s="2"/>
      <c r="E53" s="2" t="s">
        <v>37</v>
      </c>
      <c r="F53" s="18">
        <f t="shared" si="25"/>
        <v>0</v>
      </c>
      <c r="G53" s="19"/>
      <c r="H53" s="19">
        <f t="shared" si="26"/>
        <v>0</v>
      </c>
      <c r="I53" s="2"/>
      <c r="J53" s="18"/>
      <c r="K53" s="18"/>
      <c r="L53" s="19"/>
      <c r="M53" s="19">
        <f t="shared" si="27"/>
        <v>0</v>
      </c>
      <c r="N53" s="19"/>
      <c r="O53" s="18"/>
      <c r="P53" s="20"/>
      <c r="Q53" s="20"/>
      <c r="R53" s="18"/>
      <c r="S53" s="19">
        <f t="shared" si="28"/>
        <v>0</v>
      </c>
      <c r="T53" s="19">
        <f t="shared" si="29"/>
        <v>0</v>
      </c>
      <c r="U53" s="21">
        <f t="shared" si="30"/>
        <v>0</v>
      </c>
      <c r="V53" s="22">
        <f t="shared" si="31"/>
        <v>0</v>
      </c>
      <c r="W53" s="23"/>
      <c r="X53" s="22">
        <f t="shared" si="32"/>
        <v>0</v>
      </c>
      <c r="Y53" s="23"/>
      <c r="AA53" s="20"/>
    </row>
    <row r="54" spans="2:27" ht="16">
      <c r="B54" s="16"/>
      <c r="C54" s="47" t="s">
        <v>58</v>
      </c>
      <c r="D54" s="48" t="s">
        <v>80</v>
      </c>
      <c r="E54" s="48" t="s">
        <v>59</v>
      </c>
      <c r="F54" s="49">
        <v>1</v>
      </c>
      <c r="G54" s="39">
        <v>2835000</v>
      </c>
      <c r="H54" s="39">
        <f t="shared" si="26"/>
        <v>2835000</v>
      </c>
      <c r="I54" s="50" t="s">
        <v>89</v>
      </c>
      <c r="J54" s="37" t="s">
        <v>90</v>
      </c>
      <c r="K54" s="37"/>
      <c r="L54" s="38"/>
      <c r="M54" s="38">
        <f t="shared" ref="M54:M55" si="33">L54*F54</f>
        <v>0</v>
      </c>
      <c r="N54" s="38"/>
      <c r="O54" s="37"/>
      <c r="P54" s="41"/>
      <c r="Q54" s="41"/>
      <c r="R54" s="37"/>
      <c r="S54" s="38"/>
      <c r="T54" s="38"/>
      <c r="U54" s="42"/>
      <c r="V54" s="43"/>
      <c r="W54" s="44"/>
      <c r="X54" s="43"/>
      <c r="Y54" s="44"/>
      <c r="Z54" s="45"/>
      <c r="AA54" s="51" t="s">
        <v>91</v>
      </c>
    </row>
    <row r="55" spans="2:27" ht="16">
      <c r="B55" s="16"/>
      <c r="C55" s="47" t="s">
        <v>76</v>
      </c>
      <c r="D55" s="48" t="s">
        <v>80</v>
      </c>
      <c r="E55" s="48" t="s">
        <v>59</v>
      </c>
      <c r="F55" s="49">
        <v>1</v>
      </c>
      <c r="G55" s="39">
        <v>1417500</v>
      </c>
      <c r="H55" s="39">
        <f t="shared" si="26"/>
        <v>1417500</v>
      </c>
      <c r="I55" s="50" t="s">
        <v>89</v>
      </c>
      <c r="J55" s="37" t="s">
        <v>90</v>
      </c>
      <c r="K55" s="37"/>
      <c r="L55" s="38"/>
      <c r="M55" s="38">
        <f t="shared" si="33"/>
        <v>0</v>
      </c>
      <c r="N55" s="38"/>
      <c r="O55" s="37"/>
      <c r="P55" s="41"/>
      <c r="Q55" s="41"/>
      <c r="R55" s="37"/>
      <c r="S55" s="38"/>
      <c r="T55" s="38"/>
      <c r="U55" s="42"/>
      <c r="V55" s="43"/>
      <c r="W55" s="44"/>
      <c r="X55" s="43"/>
      <c r="Y55" s="44"/>
      <c r="Z55" s="45"/>
      <c r="AA55" s="51" t="s">
        <v>91</v>
      </c>
    </row>
    <row r="56" spans="2:27" hidden="1">
      <c r="B56" s="16"/>
      <c r="C56" s="17" t="s">
        <v>39</v>
      </c>
      <c r="D56" s="2"/>
      <c r="E56" s="24" t="s">
        <v>39</v>
      </c>
      <c r="F56" s="18"/>
      <c r="G56" s="19"/>
      <c r="H56" s="19">
        <f t="shared" si="26"/>
        <v>0</v>
      </c>
      <c r="I56" s="2"/>
      <c r="J56" s="18"/>
      <c r="K56" s="18"/>
      <c r="L56" s="19"/>
      <c r="M56" s="19">
        <f t="shared" si="27"/>
        <v>0</v>
      </c>
      <c r="N56" s="19"/>
      <c r="O56" s="18"/>
      <c r="P56" s="20"/>
      <c r="Q56" s="20"/>
      <c r="R56" s="18"/>
      <c r="S56" s="19"/>
      <c r="T56" s="19"/>
      <c r="U56" s="21"/>
      <c r="V56" s="22"/>
      <c r="W56" s="23"/>
      <c r="X56" s="22"/>
      <c r="Y56" s="23"/>
      <c r="AA56" s="20"/>
    </row>
    <row r="57" spans="2:27">
      <c r="B57" s="16"/>
      <c r="C57" s="37" t="s">
        <v>92</v>
      </c>
      <c r="D57" s="36" t="s">
        <v>93</v>
      </c>
      <c r="E57" s="36" t="s">
        <v>59</v>
      </c>
      <c r="F57" s="37">
        <v>1</v>
      </c>
      <c r="G57" s="38">
        <v>95000</v>
      </c>
      <c r="H57" s="38">
        <f t="shared" si="26"/>
        <v>95000</v>
      </c>
      <c r="I57" s="36" t="s">
        <v>94</v>
      </c>
      <c r="J57" s="37"/>
      <c r="K57" s="37"/>
      <c r="L57" s="38"/>
      <c r="M57" s="38">
        <f t="shared" ref="M57:M58" si="34">L57*F57</f>
        <v>0</v>
      </c>
      <c r="N57" s="38"/>
      <c r="O57" s="37"/>
      <c r="P57" s="41"/>
      <c r="Q57" s="41"/>
      <c r="R57" s="37"/>
      <c r="S57" s="38"/>
      <c r="T57" s="38"/>
      <c r="U57" s="42"/>
      <c r="V57" s="43"/>
      <c r="W57" s="44"/>
      <c r="X57" s="43"/>
      <c r="Y57" s="44"/>
      <c r="Z57" s="45"/>
      <c r="AA57" s="52" t="s">
        <v>95</v>
      </c>
    </row>
    <row r="58" spans="2:27">
      <c r="B58" s="16"/>
      <c r="C58" s="37" t="s">
        <v>60</v>
      </c>
      <c r="D58" s="36" t="s">
        <v>80</v>
      </c>
      <c r="E58" s="53" t="s">
        <v>39</v>
      </c>
      <c r="F58" s="37">
        <v>40</v>
      </c>
      <c r="G58" s="38">
        <v>3050</v>
      </c>
      <c r="H58" s="38">
        <f t="shared" si="26"/>
        <v>122000</v>
      </c>
      <c r="I58" s="36" t="s">
        <v>94</v>
      </c>
      <c r="J58" s="37"/>
      <c r="K58" s="37"/>
      <c r="L58" s="38"/>
      <c r="M58" s="38">
        <f t="shared" si="34"/>
        <v>0</v>
      </c>
      <c r="N58" s="38"/>
      <c r="O58" s="37"/>
      <c r="P58" s="41"/>
      <c r="Q58" s="41"/>
      <c r="R58" s="37"/>
      <c r="S58" s="38"/>
      <c r="T58" s="38"/>
      <c r="U58" s="42"/>
      <c r="V58" s="43"/>
      <c r="W58" s="44"/>
      <c r="X58" s="43"/>
      <c r="Y58" s="44"/>
      <c r="Z58" s="45"/>
      <c r="AA58" s="52" t="s">
        <v>95</v>
      </c>
    </row>
    <row r="59" spans="2:27" ht="3.75" hidden="1" customHeight="1">
      <c r="B59" s="25" t="s">
        <v>40</v>
      </c>
      <c r="C59" s="26" t="s">
        <v>40</v>
      </c>
      <c r="D59" s="27"/>
      <c r="E59" s="27" t="s">
        <v>40</v>
      </c>
      <c r="F59" s="25" t="s">
        <v>40</v>
      </c>
      <c r="G59" s="28"/>
      <c r="H59" s="28" t="s">
        <v>40</v>
      </c>
      <c r="I59" s="27"/>
      <c r="J59" s="25"/>
      <c r="K59" s="25"/>
      <c r="L59" s="28"/>
      <c r="M59" s="28"/>
      <c r="N59" s="28" t="s">
        <v>40</v>
      </c>
      <c r="O59" s="25"/>
      <c r="P59" s="29" t="s">
        <v>40</v>
      </c>
      <c r="Q59" s="29" t="s">
        <v>40</v>
      </c>
      <c r="R59" s="25" t="s">
        <v>40</v>
      </c>
      <c r="S59" s="28" t="s">
        <v>40</v>
      </c>
      <c r="T59" s="28" t="s">
        <v>40</v>
      </c>
      <c r="U59" s="28"/>
      <c r="V59" s="28"/>
      <c r="W59" s="28" t="s">
        <v>40</v>
      </c>
      <c r="X59" s="28" t="s">
        <v>40</v>
      </c>
      <c r="Y59" s="28" t="s">
        <v>40</v>
      </c>
      <c r="AA59" s="29"/>
    </row>
    <row r="60" spans="2:27" ht="16">
      <c r="B60" s="16" t="s">
        <v>96</v>
      </c>
      <c r="C60" s="54" t="s">
        <v>97</v>
      </c>
      <c r="D60" s="36" t="s">
        <v>93</v>
      </c>
      <c r="E60" s="36" t="s">
        <v>37</v>
      </c>
      <c r="F60" s="37">
        <f>O60</f>
        <v>0.3</v>
      </c>
      <c r="G60" s="38">
        <v>1701000</v>
      </c>
      <c r="H60" s="38">
        <f>G60*(F60+(0.05/3))</f>
        <v>538650</v>
      </c>
      <c r="I60" s="36" t="s">
        <v>98</v>
      </c>
      <c r="J60" s="37" t="s">
        <v>99</v>
      </c>
      <c r="K60" s="55" t="s">
        <v>100</v>
      </c>
      <c r="L60" s="38">
        <v>350000</v>
      </c>
      <c r="M60" s="38">
        <f>L60*F60</f>
        <v>105000</v>
      </c>
      <c r="N60" s="37"/>
      <c r="O60" s="37">
        <v>0.3</v>
      </c>
      <c r="P60" s="41">
        <f>48*432/252</f>
        <v>82.285714285714292</v>
      </c>
      <c r="Q60" s="41">
        <v>16</v>
      </c>
      <c r="R60" s="37">
        <v>2</v>
      </c>
      <c r="S60" s="38">
        <f t="shared" ref="S60:S65" si="35">O60*P60*Q60</f>
        <v>394.97142857142859</v>
      </c>
      <c r="T60" s="38">
        <f t="shared" ref="T60:T65" si="36">S60*$T$3</f>
        <v>11849.142857142857</v>
      </c>
      <c r="U60" s="42">
        <f t="shared" ref="U60:U65" si="37">P60*R60*(Q60/24)</f>
        <v>109.71428571428572</v>
      </c>
      <c r="V60" s="43">
        <f t="shared" ref="V60:V65" si="38">IFERROR(1/U60,0)</f>
        <v>9.1145833333333322E-3</v>
      </c>
      <c r="W60" s="44">
        <f>SUM(V60:V69)</f>
        <v>3.0328926905813874E-2</v>
      </c>
      <c r="X60" s="43">
        <f t="shared" ref="X60:X65" si="39">IFERROR(1/(P60*Q60/24),0)</f>
        <v>1.8229166666666664E-2</v>
      </c>
      <c r="Y60" s="44">
        <f>SUM(X60:X69)</f>
        <v>6.3807853811627749E-2</v>
      </c>
      <c r="Z60" s="45"/>
      <c r="AA60" s="46" t="s">
        <v>101</v>
      </c>
    </row>
    <row r="61" spans="2:27" hidden="1">
      <c r="B61" s="16"/>
      <c r="C61" s="17" t="s">
        <v>102</v>
      </c>
      <c r="D61" s="2"/>
      <c r="E61" s="2" t="s">
        <v>37</v>
      </c>
      <c r="F61" s="18">
        <f t="shared" ref="F61:F65" si="40">O61</f>
        <v>0</v>
      </c>
      <c r="G61" s="19"/>
      <c r="H61" s="19">
        <f t="shared" ref="H61:H69" si="41">F61*G61</f>
        <v>0</v>
      </c>
      <c r="I61" s="2"/>
      <c r="J61" s="18"/>
      <c r="K61" s="18"/>
      <c r="L61" s="19"/>
      <c r="M61" s="19">
        <f t="shared" ref="M61:M68" si="42">IFERROR(L61*F61,"")</f>
        <v>0</v>
      </c>
      <c r="N61" s="19"/>
      <c r="O61" s="18"/>
      <c r="P61" s="20"/>
      <c r="Q61" s="20"/>
      <c r="R61" s="18"/>
      <c r="S61" s="19">
        <f t="shared" si="35"/>
        <v>0</v>
      </c>
      <c r="T61" s="19">
        <f t="shared" si="36"/>
        <v>0</v>
      </c>
      <c r="U61" s="21">
        <f t="shared" si="37"/>
        <v>0</v>
      </c>
      <c r="V61" s="22">
        <f t="shared" si="38"/>
        <v>0</v>
      </c>
      <c r="W61" s="23"/>
      <c r="X61" s="22">
        <f t="shared" si="39"/>
        <v>0</v>
      </c>
      <c r="Y61" s="23"/>
      <c r="AA61" s="20"/>
    </row>
    <row r="62" spans="2:27" hidden="1">
      <c r="B62" s="16"/>
      <c r="C62" s="17" t="s">
        <v>103</v>
      </c>
      <c r="D62" s="2"/>
      <c r="E62" s="2" t="s">
        <v>37</v>
      </c>
      <c r="F62" s="18">
        <f t="shared" si="40"/>
        <v>0</v>
      </c>
      <c r="G62" s="19"/>
      <c r="H62" s="19">
        <f t="shared" si="41"/>
        <v>0</v>
      </c>
      <c r="I62" s="2"/>
      <c r="J62" s="18"/>
      <c r="K62" s="18"/>
      <c r="L62" s="19"/>
      <c r="M62" s="19">
        <f t="shared" si="42"/>
        <v>0</v>
      </c>
      <c r="N62" s="19"/>
      <c r="O62" s="18"/>
      <c r="P62" s="20"/>
      <c r="Q62" s="20"/>
      <c r="R62" s="18"/>
      <c r="S62" s="19">
        <f t="shared" si="35"/>
        <v>0</v>
      </c>
      <c r="T62" s="19">
        <f t="shared" si="36"/>
        <v>0</v>
      </c>
      <c r="U62" s="21">
        <f t="shared" si="37"/>
        <v>0</v>
      </c>
      <c r="V62" s="22">
        <f t="shared" si="38"/>
        <v>0</v>
      </c>
      <c r="W62" s="23"/>
      <c r="X62" s="22">
        <f t="shared" si="39"/>
        <v>0</v>
      </c>
      <c r="Y62" s="23"/>
      <c r="AA62" s="20"/>
    </row>
    <row r="63" spans="2:27" ht="16">
      <c r="B63" s="16"/>
      <c r="C63" s="54" t="s">
        <v>104</v>
      </c>
      <c r="D63" s="36" t="s">
        <v>93</v>
      </c>
      <c r="E63" s="36" t="s">
        <v>37</v>
      </c>
      <c r="F63" s="37">
        <f t="shared" si="40"/>
        <v>0.2</v>
      </c>
      <c r="G63" s="38">
        <v>30267000</v>
      </c>
      <c r="H63" s="38">
        <f>G63*(F63+(0.05/3))</f>
        <v>6557850</v>
      </c>
      <c r="I63" s="36" t="s">
        <v>105</v>
      </c>
      <c r="J63" s="37" t="s">
        <v>106</v>
      </c>
      <c r="K63" s="55" t="s">
        <v>107</v>
      </c>
      <c r="L63" s="38">
        <v>634940</v>
      </c>
      <c r="M63" s="38">
        <f t="shared" ref="M63:M64" si="43">L63*F63</f>
        <v>126988</v>
      </c>
      <c r="N63" s="37"/>
      <c r="O63" s="37">
        <v>0.2</v>
      </c>
      <c r="P63" s="41">
        <f>P66</f>
        <v>29.4</v>
      </c>
      <c r="Q63" s="41">
        <v>19.399999999999999</v>
      </c>
      <c r="R63" s="37">
        <v>2</v>
      </c>
      <c r="S63" s="38">
        <f t="shared" si="35"/>
        <v>114.07199999999999</v>
      </c>
      <c r="T63" s="38">
        <f t="shared" si="36"/>
        <v>3422.16</v>
      </c>
      <c r="U63" s="42">
        <f t="shared" si="37"/>
        <v>47.529999999999994</v>
      </c>
      <c r="V63" s="43">
        <f t="shared" si="38"/>
        <v>2.1039343572480541E-2</v>
      </c>
      <c r="W63" s="44"/>
      <c r="X63" s="43">
        <f t="shared" si="39"/>
        <v>4.2078687144961081E-2</v>
      </c>
      <c r="Y63" s="44"/>
      <c r="Z63" s="45"/>
      <c r="AA63" s="46" t="s">
        <v>101</v>
      </c>
    </row>
    <row r="64" spans="2:27" ht="16">
      <c r="B64" s="16"/>
      <c r="C64" s="35" t="s">
        <v>108</v>
      </c>
      <c r="D64" s="36" t="s">
        <v>93</v>
      </c>
      <c r="E64" s="36" t="s">
        <v>37</v>
      </c>
      <c r="F64" s="37">
        <f t="shared" si="40"/>
        <v>0.1</v>
      </c>
      <c r="G64" s="38"/>
      <c r="H64" s="38">
        <f t="shared" si="41"/>
        <v>0</v>
      </c>
      <c r="I64" s="37"/>
      <c r="J64" s="37"/>
      <c r="K64" s="37"/>
      <c r="L64" s="38"/>
      <c r="M64" s="38">
        <f t="shared" si="43"/>
        <v>0</v>
      </c>
      <c r="N64" s="38"/>
      <c r="O64" s="37">
        <v>0.1</v>
      </c>
      <c r="P64" s="41">
        <f>200*432/252</f>
        <v>342.85714285714283</v>
      </c>
      <c r="Q64" s="41">
        <v>20</v>
      </c>
      <c r="R64" s="37">
        <v>20</v>
      </c>
      <c r="S64" s="38">
        <f t="shared" si="35"/>
        <v>685.71428571428567</v>
      </c>
      <c r="T64" s="38">
        <f t="shared" si="36"/>
        <v>20571.428571428569</v>
      </c>
      <c r="U64" s="42">
        <f t="shared" si="37"/>
        <v>5714.2857142857147</v>
      </c>
      <c r="V64" s="43">
        <f t="shared" si="38"/>
        <v>1.75E-4</v>
      </c>
      <c r="W64" s="44"/>
      <c r="X64" s="43">
        <f t="shared" si="39"/>
        <v>3.5000000000000001E-3</v>
      </c>
      <c r="Y64" s="44"/>
      <c r="Z64" s="45"/>
      <c r="AA64" s="56"/>
    </row>
    <row r="65" spans="2:27" hidden="1">
      <c r="B65" s="16"/>
      <c r="C65" s="57" t="s">
        <v>109</v>
      </c>
      <c r="D65" s="2"/>
      <c r="E65" s="2" t="s">
        <v>37</v>
      </c>
      <c r="F65" s="18">
        <f t="shared" si="40"/>
        <v>0</v>
      </c>
      <c r="G65" s="19"/>
      <c r="H65" s="19">
        <f t="shared" si="41"/>
        <v>0</v>
      </c>
      <c r="I65" s="2"/>
      <c r="J65" s="18"/>
      <c r="K65" s="18"/>
      <c r="L65" s="19"/>
      <c r="M65" s="19">
        <f t="shared" si="42"/>
        <v>0</v>
      </c>
      <c r="N65" s="19"/>
      <c r="O65" s="18"/>
      <c r="P65" s="33"/>
      <c r="Q65" s="20"/>
      <c r="R65" s="18"/>
      <c r="S65" s="19">
        <f t="shared" si="35"/>
        <v>0</v>
      </c>
      <c r="T65" s="19">
        <f t="shared" si="36"/>
        <v>0</v>
      </c>
      <c r="U65" s="21">
        <f t="shared" si="37"/>
        <v>0</v>
      </c>
      <c r="V65" s="22">
        <f t="shared" si="38"/>
        <v>0</v>
      </c>
      <c r="W65" s="23"/>
      <c r="X65" s="22">
        <f t="shared" si="39"/>
        <v>0</v>
      </c>
      <c r="Y65" s="23"/>
      <c r="AA65" s="33"/>
    </row>
    <row r="66" spans="2:27" ht="16">
      <c r="B66" s="16"/>
      <c r="C66" s="37" t="s">
        <v>110</v>
      </c>
      <c r="D66" s="36" t="s">
        <v>80</v>
      </c>
      <c r="E66" s="36" t="s">
        <v>59</v>
      </c>
      <c r="F66" s="37">
        <f>O66</f>
        <v>2</v>
      </c>
      <c r="G66" s="58">
        <v>3900000</v>
      </c>
      <c r="H66" s="38">
        <f t="shared" si="41"/>
        <v>7800000</v>
      </c>
      <c r="I66" s="36" t="s">
        <v>105</v>
      </c>
      <c r="J66" s="37" t="s">
        <v>111</v>
      </c>
      <c r="K66" s="37"/>
      <c r="L66" s="38">
        <v>950000</v>
      </c>
      <c r="M66" s="38">
        <f>L66*F66</f>
        <v>1900000</v>
      </c>
      <c r="N66" s="38"/>
      <c r="O66" s="37">
        <v>2</v>
      </c>
      <c r="P66" s="41">
        <v>29.4</v>
      </c>
      <c r="Q66" s="41"/>
      <c r="R66" s="37"/>
      <c r="S66" s="38"/>
      <c r="T66" s="38"/>
      <c r="U66" s="42"/>
      <c r="V66" s="43"/>
      <c r="W66" s="44"/>
      <c r="X66" s="43"/>
      <c r="Y66" s="44"/>
      <c r="Z66" s="45"/>
      <c r="AA66" s="56" t="s">
        <v>112</v>
      </c>
    </row>
    <row r="67" spans="2:27" hidden="1">
      <c r="B67" s="16"/>
      <c r="C67" s="18" t="s">
        <v>113</v>
      </c>
      <c r="D67" s="2"/>
      <c r="E67" s="2" t="s">
        <v>59</v>
      </c>
      <c r="F67" s="18"/>
      <c r="G67" s="19"/>
      <c r="H67" s="19">
        <f t="shared" si="41"/>
        <v>0</v>
      </c>
      <c r="I67" s="2"/>
      <c r="J67" s="18"/>
      <c r="K67" s="18"/>
      <c r="L67" s="19"/>
      <c r="M67" s="19">
        <f t="shared" si="42"/>
        <v>0</v>
      </c>
      <c r="N67" s="19"/>
      <c r="O67" s="18"/>
      <c r="P67" s="20"/>
      <c r="Q67" s="20"/>
      <c r="R67" s="18"/>
      <c r="S67" s="19"/>
      <c r="T67" s="19"/>
      <c r="U67" s="21"/>
      <c r="V67" s="22"/>
      <c r="W67" s="23"/>
      <c r="X67" s="22"/>
      <c r="Y67" s="23"/>
      <c r="AA67" s="20"/>
    </row>
    <row r="68" spans="2:27" hidden="1">
      <c r="B68" s="16"/>
      <c r="C68" s="17" t="s">
        <v>114</v>
      </c>
      <c r="D68" s="2"/>
      <c r="E68" s="24" t="s">
        <v>39</v>
      </c>
      <c r="F68" s="18"/>
      <c r="G68" s="19"/>
      <c r="H68" s="19">
        <f t="shared" si="41"/>
        <v>0</v>
      </c>
      <c r="I68" s="2"/>
      <c r="J68" s="2"/>
      <c r="K68" s="18"/>
      <c r="L68" s="19"/>
      <c r="M68" s="19">
        <f t="shared" si="42"/>
        <v>0</v>
      </c>
      <c r="N68" s="19"/>
      <c r="O68" s="18"/>
      <c r="P68" s="20"/>
      <c r="Q68" s="20"/>
      <c r="R68" s="18"/>
      <c r="S68" s="19"/>
      <c r="T68" s="19"/>
      <c r="U68" s="21"/>
      <c r="V68" s="22"/>
      <c r="W68" s="23"/>
      <c r="X68" s="22"/>
      <c r="Y68" s="23"/>
      <c r="AA68" s="20"/>
    </row>
    <row r="69" spans="2:27">
      <c r="B69" s="16"/>
      <c r="C69" s="35" t="s">
        <v>115</v>
      </c>
      <c r="D69" s="36" t="s">
        <v>80</v>
      </c>
      <c r="E69" s="53" t="s">
        <v>39</v>
      </c>
      <c r="F69" s="37">
        <v>40</v>
      </c>
      <c r="G69" s="38">
        <v>3000</v>
      </c>
      <c r="H69" s="38">
        <f t="shared" si="41"/>
        <v>120000</v>
      </c>
      <c r="I69" s="36" t="s">
        <v>94</v>
      </c>
      <c r="J69" s="37"/>
      <c r="K69" s="37"/>
      <c r="L69" s="38"/>
      <c r="M69" s="38">
        <f>L69*F69</f>
        <v>0</v>
      </c>
      <c r="N69" s="38"/>
      <c r="O69" s="37"/>
      <c r="P69" s="41"/>
      <c r="Q69" s="41"/>
      <c r="R69" s="37"/>
      <c r="S69" s="38"/>
      <c r="T69" s="38"/>
      <c r="U69" s="42"/>
      <c r="V69" s="43"/>
      <c r="W69" s="44"/>
      <c r="X69" s="43"/>
      <c r="Y69" s="44"/>
      <c r="Z69" s="45"/>
      <c r="AA69" s="52"/>
    </row>
    <row r="70" spans="2:27" ht="3.75" hidden="1" customHeight="1">
      <c r="B70" s="25" t="s">
        <v>40</v>
      </c>
      <c r="C70" s="26" t="s">
        <v>40</v>
      </c>
      <c r="D70" s="27"/>
      <c r="E70" s="27" t="s">
        <v>40</v>
      </c>
      <c r="F70" s="25" t="s">
        <v>40</v>
      </c>
      <c r="G70" s="28"/>
      <c r="H70" s="28" t="s">
        <v>40</v>
      </c>
      <c r="I70" s="27"/>
      <c r="J70" s="25"/>
      <c r="K70" s="25"/>
      <c r="L70" s="28"/>
      <c r="M70" s="28"/>
      <c r="N70" s="28" t="s">
        <v>40</v>
      </c>
      <c r="O70" s="25"/>
      <c r="P70" s="29" t="s">
        <v>40</v>
      </c>
      <c r="Q70" s="29" t="s">
        <v>40</v>
      </c>
      <c r="R70" s="25" t="s">
        <v>40</v>
      </c>
      <c r="S70" s="28" t="s">
        <v>40</v>
      </c>
      <c r="T70" s="28" t="s">
        <v>40</v>
      </c>
      <c r="U70" s="28"/>
      <c r="V70" s="28"/>
      <c r="W70" s="28" t="s">
        <v>40</v>
      </c>
      <c r="X70" s="28" t="s">
        <v>40</v>
      </c>
      <c r="Y70" s="28" t="s">
        <v>40</v>
      </c>
      <c r="AA70" s="29"/>
    </row>
    <row r="71" spans="2:27" hidden="1">
      <c r="B71" s="16" t="s">
        <v>116</v>
      </c>
      <c r="C71" s="17" t="s">
        <v>117</v>
      </c>
      <c r="D71" s="2"/>
      <c r="E71" s="2" t="s">
        <v>37</v>
      </c>
      <c r="F71" s="18">
        <f t="shared" ref="F71:F74" si="44">O71</f>
        <v>0</v>
      </c>
      <c r="G71" s="19"/>
      <c r="H71" s="19">
        <f t="shared" ref="H71:H78" si="45">F71*G71</f>
        <v>0</v>
      </c>
      <c r="I71" s="2"/>
      <c r="J71" s="18"/>
      <c r="K71" s="18"/>
      <c r="L71" s="19"/>
      <c r="M71" s="19">
        <f t="shared" ref="M71:M78" si="46">IFERROR(L71*F71,"")</f>
        <v>0</v>
      </c>
      <c r="N71" s="19"/>
      <c r="O71" s="18"/>
      <c r="P71" s="20"/>
      <c r="Q71" s="20"/>
      <c r="R71" s="18"/>
      <c r="S71" s="19">
        <f t="shared" ref="S71:S75" si="47">O71*P71*Q71</f>
        <v>0</v>
      </c>
      <c r="T71" s="19">
        <f t="shared" ref="T71:T75" si="48">S71*$T$3</f>
        <v>0</v>
      </c>
      <c r="U71" s="21">
        <f t="shared" ref="U71:U75" si="49">P71*R71*(Q71/24)</f>
        <v>0</v>
      </c>
      <c r="V71" s="22">
        <f t="shared" ref="V71:V75" si="50">IFERROR(1/U71,0)</f>
        <v>0</v>
      </c>
      <c r="W71" s="23">
        <f>SUM(V71:V78)</f>
        <v>1.0288947955071594E-2</v>
      </c>
      <c r="X71" s="22">
        <f>IFERROR(1/(P71*Q71/24),0)</f>
        <v>0</v>
      </c>
      <c r="Y71" s="23">
        <f>SUM(X71:X78)</f>
        <v>5.1444739775357969E-2</v>
      </c>
      <c r="AA71" s="20"/>
    </row>
    <row r="72" spans="2:27" hidden="1">
      <c r="B72" s="16"/>
      <c r="C72" s="17" t="s">
        <v>118</v>
      </c>
      <c r="D72" s="2"/>
      <c r="E72" s="2" t="s">
        <v>37</v>
      </c>
      <c r="F72" s="18">
        <f t="shared" si="44"/>
        <v>0</v>
      </c>
      <c r="G72" s="19"/>
      <c r="H72" s="19">
        <f t="shared" si="45"/>
        <v>0</v>
      </c>
      <c r="I72" s="2"/>
      <c r="J72" s="18"/>
      <c r="K72" s="18"/>
      <c r="L72" s="19"/>
      <c r="M72" s="19">
        <f t="shared" si="46"/>
        <v>0</v>
      </c>
      <c r="N72" s="19"/>
      <c r="O72" s="18"/>
      <c r="P72" s="20"/>
      <c r="Q72" s="20"/>
      <c r="R72" s="18"/>
      <c r="S72" s="19">
        <f t="shared" si="47"/>
        <v>0</v>
      </c>
      <c r="T72" s="19">
        <f t="shared" si="48"/>
        <v>0</v>
      </c>
      <c r="U72" s="21">
        <f t="shared" si="49"/>
        <v>0</v>
      </c>
      <c r="V72" s="22">
        <f t="shared" si="50"/>
        <v>0</v>
      </c>
      <c r="W72" s="23"/>
      <c r="X72" s="22">
        <f>IFERROR(1/(P72*Q72/24),0)</f>
        <v>0</v>
      </c>
      <c r="Y72" s="23"/>
      <c r="AA72" s="20"/>
    </row>
    <row r="73" spans="2:27" hidden="1">
      <c r="B73" s="16"/>
      <c r="C73" s="17" t="s">
        <v>119</v>
      </c>
      <c r="D73" s="2"/>
      <c r="E73" s="2" t="s">
        <v>37</v>
      </c>
      <c r="F73" s="18">
        <f t="shared" si="44"/>
        <v>0</v>
      </c>
      <c r="G73" s="19"/>
      <c r="H73" s="19">
        <f t="shared" si="45"/>
        <v>0</v>
      </c>
      <c r="I73" s="2"/>
      <c r="J73" s="18"/>
      <c r="K73" s="18"/>
      <c r="L73" s="19"/>
      <c r="M73" s="19">
        <f t="shared" si="46"/>
        <v>0</v>
      </c>
      <c r="N73" s="19"/>
      <c r="O73" s="18"/>
      <c r="P73" s="20"/>
      <c r="Q73" s="20"/>
      <c r="R73" s="18"/>
      <c r="S73" s="19">
        <f t="shared" si="47"/>
        <v>0</v>
      </c>
      <c r="T73" s="19">
        <f t="shared" si="48"/>
        <v>0</v>
      </c>
      <c r="U73" s="21">
        <f t="shared" si="49"/>
        <v>0</v>
      </c>
      <c r="V73" s="22">
        <f t="shared" si="50"/>
        <v>0</v>
      </c>
      <c r="W73" s="23"/>
      <c r="X73" s="22">
        <f>IFERROR(1/(P73*Q73/24),0)</f>
        <v>0</v>
      </c>
      <c r="Y73" s="23"/>
      <c r="AA73" s="20"/>
    </row>
    <row r="74" spans="2:27" hidden="1">
      <c r="B74" s="16"/>
      <c r="C74" s="17" t="s">
        <v>120</v>
      </c>
      <c r="D74" s="2"/>
      <c r="E74" s="2" t="s">
        <v>37</v>
      </c>
      <c r="F74" s="18">
        <f t="shared" si="44"/>
        <v>0</v>
      </c>
      <c r="G74" s="19"/>
      <c r="H74" s="19">
        <f t="shared" si="45"/>
        <v>0</v>
      </c>
      <c r="I74" s="2"/>
      <c r="J74" s="18"/>
      <c r="K74" s="18"/>
      <c r="L74" s="19"/>
      <c r="M74" s="19">
        <f t="shared" si="46"/>
        <v>0</v>
      </c>
      <c r="N74" s="19"/>
      <c r="O74" s="18"/>
      <c r="P74" s="20"/>
      <c r="Q74" s="20"/>
      <c r="R74" s="18"/>
      <c r="S74" s="19">
        <f t="shared" si="47"/>
        <v>0</v>
      </c>
      <c r="T74" s="19">
        <f t="shared" si="48"/>
        <v>0</v>
      </c>
      <c r="U74" s="21">
        <f t="shared" si="49"/>
        <v>0</v>
      </c>
      <c r="V74" s="22">
        <f t="shared" si="50"/>
        <v>0</v>
      </c>
      <c r="W74" s="23"/>
      <c r="X74" s="22">
        <f>IFERROR(1/(P74*Q74/24),0)</f>
        <v>0</v>
      </c>
      <c r="Y74" s="23"/>
      <c r="AA74" s="20"/>
    </row>
    <row r="75" spans="2:27" ht="16">
      <c r="B75" s="16"/>
      <c r="C75" s="35" t="s">
        <v>121</v>
      </c>
      <c r="D75" s="36" t="s">
        <v>93</v>
      </c>
      <c r="E75" s="36" t="s">
        <v>37</v>
      </c>
      <c r="F75" s="37">
        <f>O75</f>
        <v>0.2</v>
      </c>
      <c r="G75" s="38">
        <v>7260000</v>
      </c>
      <c r="H75" s="38">
        <f>G75*(F75+0.05/3)</f>
        <v>1573000</v>
      </c>
      <c r="I75" s="36" t="s">
        <v>122</v>
      </c>
      <c r="J75" s="37" t="s">
        <v>123</v>
      </c>
      <c r="K75" s="55" t="s">
        <v>124</v>
      </c>
      <c r="L75" s="38">
        <v>480000</v>
      </c>
      <c r="M75" s="38">
        <f t="shared" ref="M75:M76" si="51">L75*F75</f>
        <v>96000</v>
      </c>
      <c r="N75" s="38"/>
      <c r="O75" s="37">
        <v>0.2</v>
      </c>
      <c r="P75" s="41">
        <v>21.4</v>
      </c>
      <c r="Q75" s="41">
        <v>21.8</v>
      </c>
      <c r="R75" s="37">
        <v>5</v>
      </c>
      <c r="S75" s="38">
        <f t="shared" si="47"/>
        <v>93.304000000000002</v>
      </c>
      <c r="T75" s="38">
        <f t="shared" si="48"/>
        <v>2799.12</v>
      </c>
      <c r="U75" s="42">
        <f t="shared" si="49"/>
        <v>97.191666666666663</v>
      </c>
      <c r="V75" s="43">
        <f t="shared" si="50"/>
        <v>1.0288947955071594E-2</v>
      </c>
      <c r="W75" s="44"/>
      <c r="X75" s="43">
        <f>IFERROR(1/(P75*Q75/24),0)</f>
        <v>5.1444739775357969E-2</v>
      </c>
      <c r="Y75" s="44"/>
      <c r="Z75" s="45"/>
      <c r="AA75" s="46" t="s">
        <v>101</v>
      </c>
    </row>
    <row r="76" spans="2:27" ht="16">
      <c r="B76" s="16"/>
      <c r="C76" s="35" t="s">
        <v>125</v>
      </c>
      <c r="D76" s="36" t="s">
        <v>80</v>
      </c>
      <c r="E76" s="36" t="s">
        <v>39</v>
      </c>
      <c r="F76" s="37">
        <v>1</v>
      </c>
      <c r="G76" s="38">
        <v>600000</v>
      </c>
      <c r="H76" s="38">
        <f t="shared" si="45"/>
        <v>600000</v>
      </c>
      <c r="I76" s="36" t="s">
        <v>122</v>
      </c>
      <c r="J76" s="37" t="s">
        <v>123</v>
      </c>
      <c r="K76" s="37"/>
      <c r="L76" s="38"/>
      <c r="M76" s="38">
        <f t="shared" si="51"/>
        <v>0</v>
      </c>
      <c r="N76" s="38"/>
      <c r="O76" s="37"/>
      <c r="P76" s="41"/>
      <c r="Q76" s="41"/>
      <c r="R76" s="37"/>
      <c r="S76" s="38"/>
      <c r="T76" s="38"/>
      <c r="U76" s="42"/>
      <c r="V76" s="43"/>
      <c r="W76" s="44"/>
      <c r="X76" s="43"/>
      <c r="Y76" s="44"/>
      <c r="Z76" s="45"/>
      <c r="AA76" s="56"/>
    </row>
    <row r="77" spans="2:27" hidden="1">
      <c r="B77" s="16"/>
      <c r="C77" s="18" t="s">
        <v>126</v>
      </c>
      <c r="D77" s="2"/>
      <c r="E77" s="2" t="s">
        <v>59</v>
      </c>
      <c r="F77" s="18"/>
      <c r="G77" s="19"/>
      <c r="H77" s="19">
        <f t="shared" si="45"/>
        <v>0</v>
      </c>
      <c r="I77" s="2"/>
      <c r="J77" s="18"/>
      <c r="K77" s="18"/>
      <c r="L77" s="19"/>
      <c r="M77" s="19">
        <f t="shared" si="46"/>
        <v>0</v>
      </c>
      <c r="N77" s="19"/>
      <c r="O77" s="18"/>
      <c r="P77" s="20"/>
      <c r="Q77" s="20"/>
      <c r="R77" s="18"/>
      <c r="S77" s="19"/>
      <c r="T77" s="19"/>
      <c r="U77" s="21"/>
      <c r="V77" s="22"/>
      <c r="W77" s="23"/>
      <c r="X77" s="22"/>
      <c r="Y77" s="23"/>
      <c r="AA77" s="20"/>
    </row>
    <row r="78" spans="2:27" hidden="1">
      <c r="B78" s="16"/>
      <c r="C78" s="18" t="s">
        <v>39</v>
      </c>
      <c r="D78" s="2"/>
      <c r="E78" s="24" t="s">
        <v>39</v>
      </c>
      <c r="F78" s="18"/>
      <c r="G78" s="19"/>
      <c r="H78" s="19">
        <f t="shared" si="45"/>
        <v>0</v>
      </c>
      <c r="I78" s="2"/>
      <c r="J78" s="18"/>
      <c r="K78" s="18"/>
      <c r="L78" s="19"/>
      <c r="M78" s="19">
        <f t="shared" si="46"/>
        <v>0</v>
      </c>
      <c r="N78" s="19"/>
      <c r="O78" s="18"/>
      <c r="P78" s="20"/>
      <c r="Q78" s="20"/>
      <c r="R78" s="18"/>
      <c r="S78" s="19"/>
      <c r="T78" s="19"/>
      <c r="U78" s="21"/>
      <c r="V78" s="22"/>
      <c r="W78" s="23"/>
      <c r="X78" s="22"/>
      <c r="Y78" s="23"/>
      <c r="AA78" s="20"/>
    </row>
    <row r="79" spans="2:27" ht="3.75" hidden="1" customHeight="1">
      <c r="B79" s="25" t="s">
        <v>40</v>
      </c>
      <c r="C79" s="26" t="s">
        <v>40</v>
      </c>
      <c r="D79" s="27"/>
      <c r="E79" s="27" t="s">
        <v>40</v>
      </c>
      <c r="F79" s="25" t="s">
        <v>40</v>
      </c>
      <c r="G79" s="28"/>
      <c r="H79" s="28" t="s">
        <v>40</v>
      </c>
      <c r="I79" s="27"/>
      <c r="J79" s="25"/>
      <c r="K79" s="25"/>
      <c r="L79" s="28"/>
      <c r="M79" s="28"/>
      <c r="N79" s="28" t="s">
        <v>40</v>
      </c>
      <c r="O79" s="25"/>
      <c r="P79" s="29" t="s">
        <v>40</v>
      </c>
      <c r="Q79" s="29" t="s">
        <v>40</v>
      </c>
      <c r="R79" s="25" t="s">
        <v>40</v>
      </c>
      <c r="S79" s="28" t="s">
        <v>40</v>
      </c>
      <c r="T79" s="28" t="s">
        <v>40</v>
      </c>
      <c r="U79" s="28"/>
      <c r="V79" s="28"/>
      <c r="W79" s="28" t="s">
        <v>40</v>
      </c>
      <c r="X79" s="28" t="s">
        <v>40</v>
      </c>
      <c r="Y79" s="28" t="s">
        <v>40</v>
      </c>
      <c r="AA79" s="29"/>
    </row>
    <row r="80" spans="2:27" hidden="1">
      <c r="B80" s="16" t="s">
        <v>127</v>
      </c>
      <c r="C80" s="17" t="s">
        <v>128</v>
      </c>
      <c r="D80" s="2"/>
      <c r="E80" s="2" t="s">
        <v>37</v>
      </c>
      <c r="F80" s="18">
        <f t="shared" ref="F80:F87" si="52">O80</f>
        <v>0</v>
      </c>
      <c r="G80" s="19"/>
      <c r="H80" s="19">
        <f t="shared" ref="H80:H88" si="53">F80*G80</f>
        <v>0</v>
      </c>
      <c r="I80" s="2"/>
      <c r="J80" s="18"/>
      <c r="K80" s="18"/>
      <c r="L80" s="19"/>
      <c r="M80" s="19">
        <f t="shared" ref="M80:M88" si="54">IFERROR(L80*F80,"")</f>
        <v>0</v>
      </c>
      <c r="N80" s="19"/>
      <c r="O80" s="18"/>
      <c r="P80" s="20"/>
      <c r="Q80" s="20"/>
      <c r="R80" s="18"/>
      <c r="S80" s="19">
        <f t="shared" ref="S80:S87" si="55">O80*P80*Q80</f>
        <v>0</v>
      </c>
      <c r="T80" s="19">
        <f t="shared" ref="T80:T87" si="56">S80*$T$3</f>
        <v>0</v>
      </c>
      <c r="U80" s="21">
        <f t="shared" ref="U80:U87" si="57">P80*R80*(Q80/24)</f>
        <v>0</v>
      </c>
      <c r="V80" s="22">
        <f t="shared" ref="V80:V87" si="58">IFERROR(1/U80,0)</f>
        <v>0</v>
      </c>
      <c r="W80" s="23">
        <f>SUM(V80:V88)</f>
        <v>0</v>
      </c>
      <c r="X80" s="22">
        <f t="shared" ref="X80:X87" si="59">IFERROR(1/(P80*Q80/24),0)</f>
        <v>0</v>
      </c>
      <c r="Y80" s="23">
        <f>SUM(X80:X88)</f>
        <v>0</v>
      </c>
      <c r="AA80" s="20"/>
    </row>
    <row r="81" spans="2:27" hidden="1">
      <c r="B81" s="16"/>
      <c r="C81" s="17" t="s">
        <v>129</v>
      </c>
      <c r="D81" s="2"/>
      <c r="E81" s="2" t="s">
        <v>37</v>
      </c>
      <c r="F81" s="18">
        <f t="shared" si="52"/>
        <v>0</v>
      </c>
      <c r="G81" s="19"/>
      <c r="H81" s="19">
        <f t="shared" si="53"/>
        <v>0</v>
      </c>
      <c r="I81" s="2"/>
      <c r="J81" s="18"/>
      <c r="K81" s="18"/>
      <c r="L81" s="19"/>
      <c r="M81" s="19">
        <f t="shared" si="54"/>
        <v>0</v>
      </c>
      <c r="N81" s="19"/>
      <c r="O81" s="18"/>
      <c r="P81" s="20"/>
      <c r="Q81" s="20"/>
      <c r="R81" s="18"/>
      <c r="S81" s="19">
        <f t="shared" si="55"/>
        <v>0</v>
      </c>
      <c r="T81" s="19">
        <f t="shared" si="56"/>
        <v>0</v>
      </c>
      <c r="U81" s="21">
        <f t="shared" si="57"/>
        <v>0</v>
      </c>
      <c r="V81" s="22">
        <f t="shared" si="58"/>
        <v>0</v>
      </c>
      <c r="W81" s="23"/>
      <c r="X81" s="22">
        <f t="shared" si="59"/>
        <v>0</v>
      </c>
      <c r="Y81" s="23"/>
      <c r="AA81" s="20"/>
    </row>
    <row r="82" spans="2:27" hidden="1">
      <c r="B82" s="16"/>
      <c r="C82" s="17" t="s">
        <v>130</v>
      </c>
      <c r="D82" s="2"/>
      <c r="E82" s="2" t="s">
        <v>37</v>
      </c>
      <c r="F82" s="18">
        <f t="shared" si="52"/>
        <v>0</v>
      </c>
      <c r="G82" s="19"/>
      <c r="H82" s="19">
        <f t="shared" si="53"/>
        <v>0</v>
      </c>
      <c r="I82" s="2"/>
      <c r="J82" s="18"/>
      <c r="K82" s="18"/>
      <c r="L82" s="19"/>
      <c r="M82" s="19">
        <f t="shared" si="54"/>
        <v>0</v>
      </c>
      <c r="N82" s="19"/>
      <c r="O82" s="18"/>
      <c r="P82" s="20"/>
      <c r="Q82" s="20"/>
      <c r="R82" s="18"/>
      <c r="S82" s="19">
        <f t="shared" si="55"/>
        <v>0</v>
      </c>
      <c r="T82" s="19">
        <f t="shared" si="56"/>
        <v>0</v>
      </c>
      <c r="U82" s="21">
        <f t="shared" si="57"/>
        <v>0</v>
      </c>
      <c r="V82" s="22">
        <f t="shared" si="58"/>
        <v>0</v>
      </c>
      <c r="W82" s="23"/>
      <c r="X82" s="22">
        <f t="shared" si="59"/>
        <v>0</v>
      </c>
      <c r="Y82" s="23"/>
      <c r="AA82" s="20"/>
    </row>
    <row r="83" spans="2:27" hidden="1">
      <c r="B83" s="16"/>
      <c r="C83" s="17" t="s">
        <v>131</v>
      </c>
      <c r="D83" s="2"/>
      <c r="E83" s="2" t="s">
        <v>37</v>
      </c>
      <c r="F83" s="18">
        <f t="shared" si="52"/>
        <v>0</v>
      </c>
      <c r="G83" s="19"/>
      <c r="H83" s="19">
        <f t="shared" si="53"/>
        <v>0</v>
      </c>
      <c r="I83" s="2"/>
      <c r="J83" s="18"/>
      <c r="K83" s="18"/>
      <c r="L83" s="19"/>
      <c r="M83" s="19">
        <f t="shared" si="54"/>
        <v>0</v>
      </c>
      <c r="N83" s="19"/>
      <c r="O83" s="18"/>
      <c r="P83" s="20"/>
      <c r="Q83" s="20"/>
      <c r="R83" s="18"/>
      <c r="S83" s="19">
        <f t="shared" si="55"/>
        <v>0</v>
      </c>
      <c r="T83" s="19">
        <f t="shared" si="56"/>
        <v>0</v>
      </c>
      <c r="U83" s="21">
        <f t="shared" si="57"/>
        <v>0</v>
      </c>
      <c r="V83" s="22">
        <f t="shared" si="58"/>
        <v>0</v>
      </c>
      <c r="W83" s="23"/>
      <c r="X83" s="22">
        <f t="shared" si="59"/>
        <v>0</v>
      </c>
      <c r="Y83" s="23"/>
      <c r="AA83" s="20"/>
    </row>
    <row r="84" spans="2:27" hidden="1">
      <c r="B84" s="16"/>
      <c r="C84" s="17" t="s">
        <v>132</v>
      </c>
      <c r="D84" s="2"/>
      <c r="E84" s="2" t="s">
        <v>37</v>
      </c>
      <c r="F84" s="18">
        <f t="shared" si="52"/>
        <v>0</v>
      </c>
      <c r="G84" s="19"/>
      <c r="H84" s="19">
        <f t="shared" si="53"/>
        <v>0</v>
      </c>
      <c r="I84" s="2"/>
      <c r="J84" s="18"/>
      <c r="K84" s="18"/>
      <c r="L84" s="19"/>
      <c r="M84" s="19">
        <f t="shared" si="54"/>
        <v>0</v>
      </c>
      <c r="N84" s="19"/>
      <c r="O84" s="18"/>
      <c r="P84" s="20"/>
      <c r="Q84" s="20"/>
      <c r="R84" s="18"/>
      <c r="S84" s="19">
        <f t="shared" si="55"/>
        <v>0</v>
      </c>
      <c r="T84" s="19">
        <f t="shared" si="56"/>
        <v>0</v>
      </c>
      <c r="U84" s="21">
        <f t="shared" si="57"/>
        <v>0</v>
      </c>
      <c r="V84" s="22">
        <f t="shared" si="58"/>
        <v>0</v>
      </c>
      <c r="W84" s="23"/>
      <c r="X84" s="22">
        <f t="shared" si="59"/>
        <v>0</v>
      </c>
      <c r="Y84" s="23"/>
      <c r="AA84" s="20"/>
    </row>
    <row r="85" spans="2:27" hidden="1">
      <c r="B85" s="16"/>
      <c r="C85" s="17" t="s">
        <v>133</v>
      </c>
      <c r="D85" s="2"/>
      <c r="E85" s="2" t="s">
        <v>37</v>
      </c>
      <c r="F85" s="18">
        <f t="shared" si="52"/>
        <v>0</v>
      </c>
      <c r="G85" s="19"/>
      <c r="H85" s="19">
        <f t="shared" si="53"/>
        <v>0</v>
      </c>
      <c r="I85" s="2"/>
      <c r="J85" s="18"/>
      <c r="K85" s="18"/>
      <c r="L85" s="19"/>
      <c r="M85" s="19">
        <f t="shared" si="54"/>
        <v>0</v>
      </c>
      <c r="N85" s="19"/>
      <c r="O85" s="18"/>
      <c r="P85" s="20"/>
      <c r="Q85" s="20"/>
      <c r="R85" s="18"/>
      <c r="S85" s="19">
        <f t="shared" si="55"/>
        <v>0</v>
      </c>
      <c r="T85" s="19">
        <f t="shared" si="56"/>
        <v>0</v>
      </c>
      <c r="U85" s="21">
        <f t="shared" si="57"/>
        <v>0</v>
      </c>
      <c r="V85" s="22">
        <f t="shared" si="58"/>
        <v>0</v>
      </c>
      <c r="W85" s="23"/>
      <c r="X85" s="22">
        <f t="shared" si="59"/>
        <v>0</v>
      </c>
      <c r="Y85" s="23"/>
      <c r="AA85" s="20"/>
    </row>
    <row r="86" spans="2:27" hidden="1">
      <c r="B86" s="16"/>
      <c r="C86" s="17" t="s">
        <v>134</v>
      </c>
      <c r="D86" s="2"/>
      <c r="E86" s="2" t="s">
        <v>37</v>
      </c>
      <c r="F86" s="18">
        <f t="shared" si="52"/>
        <v>0</v>
      </c>
      <c r="G86" s="19"/>
      <c r="H86" s="19">
        <f t="shared" si="53"/>
        <v>0</v>
      </c>
      <c r="I86" s="2"/>
      <c r="J86" s="18"/>
      <c r="K86" s="18"/>
      <c r="L86" s="19"/>
      <c r="M86" s="19">
        <f t="shared" si="54"/>
        <v>0</v>
      </c>
      <c r="N86" s="19"/>
      <c r="O86" s="18"/>
      <c r="P86" s="20"/>
      <c r="Q86" s="20"/>
      <c r="R86" s="18"/>
      <c r="S86" s="19">
        <f t="shared" si="55"/>
        <v>0</v>
      </c>
      <c r="T86" s="19">
        <f t="shared" si="56"/>
        <v>0</v>
      </c>
      <c r="U86" s="21">
        <f t="shared" si="57"/>
        <v>0</v>
      </c>
      <c r="V86" s="22">
        <f t="shared" si="58"/>
        <v>0</v>
      </c>
      <c r="W86" s="23"/>
      <c r="X86" s="22">
        <f t="shared" si="59"/>
        <v>0</v>
      </c>
      <c r="Y86" s="23"/>
      <c r="AA86" s="20"/>
    </row>
    <row r="87" spans="2:27" hidden="1">
      <c r="B87" s="16"/>
      <c r="C87" s="17" t="s">
        <v>135</v>
      </c>
      <c r="D87" s="2"/>
      <c r="E87" s="2" t="s">
        <v>37</v>
      </c>
      <c r="F87" s="18">
        <f t="shared" si="52"/>
        <v>0</v>
      </c>
      <c r="G87" s="19"/>
      <c r="H87" s="19">
        <f t="shared" si="53"/>
        <v>0</v>
      </c>
      <c r="I87" s="2"/>
      <c r="J87" s="18"/>
      <c r="K87" s="18"/>
      <c r="L87" s="19"/>
      <c r="M87" s="19">
        <f t="shared" si="54"/>
        <v>0</v>
      </c>
      <c r="N87" s="19"/>
      <c r="O87" s="18"/>
      <c r="P87" s="20"/>
      <c r="Q87" s="20"/>
      <c r="R87" s="18"/>
      <c r="S87" s="19">
        <f t="shared" si="55"/>
        <v>0</v>
      </c>
      <c r="T87" s="19">
        <f t="shared" si="56"/>
        <v>0</v>
      </c>
      <c r="U87" s="21">
        <f t="shared" si="57"/>
        <v>0</v>
      </c>
      <c r="V87" s="22">
        <f t="shared" si="58"/>
        <v>0</v>
      </c>
      <c r="W87" s="23"/>
      <c r="X87" s="22">
        <f t="shared" si="59"/>
        <v>0</v>
      </c>
      <c r="Y87" s="23"/>
      <c r="AA87" s="20"/>
    </row>
    <row r="88" spans="2:27" hidden="1">
      <c r="B88" s="16"/>
      <c r="C88" s="3" t="s">
        <v>39</v>
      </c>
      <c r="D88" s="2"/>
      <c r="E88" s="24" t="s">
        <v>39</v>
      </c>
      <c r="F88" s="18"/>
      <c r="G88" s="19"/>
      <c r="H88" s="19">
        <f t="shared" si="53"/>
        <v>0</v>
      </c>
      <c r="I88" s="2"/>
      <c r="J88" s="18"/>
      <c r="K88" s="18"/>
      <c r="L88" s="19"/>
      <c r="M88" s="19">
        <f t="shared" si="54"/>
        <v>0</v>
      </c>
      <c r="N88" s="19"/>
      <c r="O88" s="18"/>
      <c r="P88" s="20"/>
      <c r="Q88" s="20"/>
      <c r="R88" s="18"/>
      <c r="S88" s="19"/>
      <c r="T88" s="19"/>
      <c r="U88" s="21"/>
      <c r="V88" s="22"/>
      <c r="W88" s="23"/>
      <c r="X88" s="22"/>
      <c r="Y88" s="23"/>
      <c r="AA88" s="20"/>
    </row>
    <row r="89" spans="2:27" ht="3.75" hidden="1" customHeight="1">
      <c r="B89" s="25" t="s">
        <v>40</v>
      </c>
      <c r="C89" s="26" t="s">
        <v>40</v>
      </c>
      <c r="D89" s="27"/>
      <c r="E89" s="27" t="s">
        <v>40</v>
      </c>
      <c r="F89" s="25" t="s">
        <v>40</v>
      </c>
      <c r="G89" s="28"/>
      <c r="H89" s="28" t="s">
        <v>40</v>
      </c>
      <c r="I89" s="27"/>
      <c r="J89" s="25"/>
      <c r="K89" s="25"/>
      <c r="L89" s="28"/>
      <c r="M89" s="28"/>
      <c r="N89" s="28" t="s">
        <v>40</v>
      </c>
      <c r="O89" s="25"/>
      <c r="P89" s="29" t="s">
        <v>40</v>
      </c>
      <c r="Q89" s="29" t="s">
        <v>40</v>
      </c>
      <c r="R89" s="25" t="s">
        <v>40</v>
      </c>
      <c r="S89" s="28" t="s">
        <v>40</v>
      </c>
      <c r="T89" s="28" t="s">
        <v>40</v>
      </c>
      <c r="U89" s="28"/>
      <c r="V89" s="28"/>
      <c r="W89" s="28" t="s">
        <v>40</v>
      </c>
      <c r="X89" s="28" t="s">
        <v>40</v>
      </c>
      <c r="Y89" s="28" t="s">
        <v>40</v>
      </c>
      <c r="AA89" s="29"/>
    </row>
    <row r="90" spans="2:27" hidden="1">
      <c r="B90" s="59" t="s">
        <v>136</v>
      </c>
      <c r="C90" s="17" t="s">
        <v>137</v>
      </c>
      <c r="D90" s="2"/>
      <c r="E90" s="2" t="s">
        <v>37</v>
      </c>
      <c r="F90" s="18">
        <f t="shared" ref="F90:F92" si="60">O90</f>
        <v>0</v>
      </c>
      <c r="G90" s="19"/>
      <c r="H90" s="19">
        <f>F90*G90</f>
        <v>0</v>
      </c>
      <c r="I90" s="2"/>
      <c r="J90" s="18"/>
      <c r="K90" s="18"/>
      <c r="L90" s="19"/>
      <c r="M90" s="19">
        <f t="shared" ref="M90:M93" si="61">IFERROR(L90*F90,"")</f>
        <v>0</v>
      </c>
      <c r="N90" s="19"/>
      <c r="O90" s="18"/>
      <c r="P90" s="33"/>
      <c r="Q90" s="20"/>
      <c r="R90" s="18"/>
      <c r="S90" s="19">
        <f>O90*P90*Q90</f>
        <v>0</v>
      </c>
      <c r="T90" s="19">
        <f>S90*$T$3</f>
        <v>0</v>
      </c>
      <c r="U90" s="21">
        <f>P90*R90*(Q90/24)</f>
        <v>0</v>
      </c>
      <c r="V90" s="22">
        <f t="shared" ref="V90:V92" si="62">IFERROR(1/U90,0)</f>
        <v>0</v>
      </c>
      <c r="W90" s="60">
        <f>SUM(V90:V92)</f>
        <v>0</v>
      </c>
      <c r="X90" s="22">
        <f>IFERROR(1/(P90*Q90/24),0)</f>
        <v>0</v>
      </c>
      <c r="Y90" s="60">
        <f>SUM(X90:X92)</f>
        <v>0</v>
      </c>
      <c r="AA90" s="33"/>
    </row>
    <row r="91" spans="2:27" hidden="1">
      <c r="B91" s="31"/>
      <c r="C91" s="17" t="s">
        <v>138</v>
      </c>
      <c r="D91" s="2"/>
      <c r="E91" s="2" t="s">
        <v>37</v>
      </c>
      <c r="F91" s="18">
        <f t="shared" si="60"/>
        <v>0</v>
      </c>
      <c r="G91" s="19"/>
      <c r="H91" s="19">
        <f>F91*G91</f>
        <v>0</v>
      </c>
      <c r="I91" s="2"/>
      <c r="J91" s="18"/>
      <c r="K91" s="18"/>
      <c r="L91" s="19"/>
      <c r="M91" s="19">
        <f t="shared" si="61"/>
        <v>0</v>
      </c>
      <c r="N91" s="19"/>
      <c r="O91" s="18"/>
      <c r="P91" s="33"/>
      <c r="Q91" s="20"/>
      <c r="R91" s="18"/>
      <c r="S91" s="19">
        <f>O91*P91*Q91</f>
        <v>0</v>
      </c>
      <c r="T91" s="19">
        <f>S91*$T$3</f>
        <v>0</v>
      </c>
      <c r="U91" s="21">
        <f>P91*R91*(Q91/24)</f>
        <v>0</v>
      </c>
      <c r="V91" s="22">
        <f t="shared" si="62"/>
        <v>0</v>
      </c>
      <c r="W91" s="61"/>
      <c r="X91" s="22">
        <f>IFERROR(1/(P91*Q91/24),0)</f>
        <v>0</v>
      </c>
      <c r="Y91" s="61"/>
      <c r="AA91" s="33"/>
    </row>
    <row r="92" spans="2:27" hidden="1">
      <c r="B92" s="31"/>
      <c r="C92" s="17" t="s">
        <v>139</v>
      </c>
      <c r="D92" s="2"/>
      <c r="E92" s="2" t="s">
        <v>37</v>
      </c>
      <c r="F92" s="18">
        <f t="shared" si="60"/>
        <v>0</v>
      </c>
      <c r="G92" s="19"/>
      <c r="H92" s="19">
        <f>F92*G92</f>
        <v>0</v>
      </c>
      <c r="I92" s="2"/>
      <c r="J92" s="18"/>
      <c r="K92" s="18"/>
      <c r="L92" s="19"/>
      <c r="M92" s="19">
        <f t="shared" si="61"/>
        <v>0</v>
      </c>
      <c r="N92" s="19"/>
      <c r="O92" s="18"/>
      <c r="P92" s="33"/>
      <c r="Q92" s="20"/>
      <c r="R92" s="18"/>
      <c r="S92" s="19">
        <f>O92*P92*Q92</f>
        <v>0</v>
      </c>
      <c r="T92" s="19">
        <f>S92*$T$3</f>
        <v>0</v>
      </c>
      <c r="U92" s="21">
        <f>P92*R92*(Q92/24)</f>
        <v>0</v>
      </c>
      <c r="V92" s="22">
        <f t="shared" si="62"/>
        <v>0</v>
      </c>
      <c r="W92" s="61"/>
      <c r="X92" s="22">
        <f>IFERROR(1/(P92*Q92/24),0)</f>
        <v>0</v>
      </c>
      <c r="Y92" s="61"/>
      <c r="AA92" s="33"/>
    </row>
    <row r="93" spans="2:27" hidden="1">
      <c r="B93" s="32"/>
      <c r="C93" s="18" t="s">
        <v>39</v>
      </c>
      <c r="D93" s="2"/>
      <c r="E93" s="24" t="s">
        <v>39</v>
      </c>
      <c r="F93" s="18"/>
      <c r="G93" s="19"/>
      <c r="H93" s="19">
        <f>F93*G93</f>
        <v>0</v>
      </c>
      <c r="I93" s="2"/>
      <c r="J93" s="18"/>
      <c r="K93" s="18"/>
      <c r="L93" s="19"/>
      <c r="M93" s="19">
        <f t="shared" si="61"/>
        <v>0</v>
      </c>
      <c r="N93" s="19"/>
      <c r="O93" s="18"/>
      <c r="P93" s="20"/>
      <c r="Q93" s="20"/>
      <c r="R93" s="18"/>
      <c r="S93" s="19"/>
      <c r="T93" s="19"/>
      <c r="U93" s="21"/>
      <c r="V93" s="22"/>
      <c r="W93" s="62"/>
      <c r="X93" s="22"/>
      <c r="Y93" s="62"/>
      <c r="AA93" s="20"/>
    </row>
    <row r="94" spans="2:27" ht="3.75" hidden="1" customHeight="1">
      <c r="B94" s="25" t="s">
        <v>40</v>
      </c>
      <c r="C94" s="26" t="s">
        <v>40</v>
      </c>
      <c r="D94" s="27"/>
      <c r="E94" s="27" t="s">
        <v>40</v>
      </c>
      <c r="F94" s="25" t="s">
        <v>40</v>
      </c>
      <c r="G94" s="28"/>
      <c r="H94" s="28" t="s">
        <v>40</v>
      </c>
      <c r="I94" s="27"/>
      <c r="J94" s="25"/>
      <c r="K94" s="25"/>
      <c r="L94" s="28"/>
      <c r="M94" s="28"/>
      <c r="N94" s="28" t="s">
        <v>40</v>
      </c>
      <c r="O94" s="25"/>
      <c r="P94" s="29" t="s">
        <v>40</v>
      </c>
      <c r="Q94" s="29" t="s">
        <v>40</v>
      </c>
      <c r="R94" s="25" t="s">
        <v>40</v>
      </c>
      <c r="S94" s="28" t="s">
        <v>40</v>
      </c>
      <c r="T94" s="28" t="s">
        <v>40</v>
      </c>
      <c r="U94" s="28"/>
      <c r="V94" s="28"/>
      <c r="W94" s="28" t="s">
        <v>40</v>
      </c>
      <c r="X94" s="28" t="s">
        <v>40</v>
      </c>
      <c r="Y94" s="28" t="s">
        <v>40</v>
      </c>
      <c r="AA94" s="29"/>
    </row>
    <row r="95" spans="2:27" hidden="1">
      <c r="B95" s="16" t="s">
        <v>140</v>
      </c>
      <c r="C95" s="17" t="s">
        <v>141</v>
      </c>
      <c r="D95" s="2"/>
      <c r="E95" s="2" t="s">
        <v>37</v>
      </c>
      <c r="F95" s="18">
        <f t="shared" ref="F95:F99" si="63">O95</f>
        <v>0</v>
      </c>
      <c r="G95" s="19"/>
      <c r="H95" s="19">
        <f t="shared" ref="H95:H100" si="64">F95*G95</f>
        <v>0</v>
      </c>
      <c r="I95" s="2"/>
      <c r="J95" s="18"/>
      <c r="K95" s="18"/>
      <c r="L95" s="19"/>
      <c r="M95" s="19">
        <f t="shared" ref="M95:M100" si="65">IFERROR(L95*F95,"")</f>
        <v>0</v>
      </c>
      <c r="N95" s="19"/>
      <c r="O95" s="18"/>
      <c r="P95" s="20"/>
      <c r="Q95" s="20"/>
      <c r="R95" s="18"/>
      <c r="S95" s="19">
        <f>O95*P95*Q95</f>
        <v>0</v>
      </c>
      <c r="T95" s="19">
        <f>S95*$T$3</f>
        <v>0</v>
      </c>
      <c r="U95" s="21">
        <f>P95*R95*(Q95/24)</f>
        <v>0</v>
      </c>
      <c r="V95" s="22">
        <f t="shared" ref="V95:V119" si="66">IFERROR(1/U95,0)</f>
        <v>0</v>
      </c>
      <c r="W95" s="23">
        <f>SUM(V95:V101)</f>
        <v>0</v>
      </c>
      <c r="X95" s="22">
        <f>IFERROR(1/(P95*Q95/24),0)</f>
        <v>0</v>
      </c>
      <c r="Y95" s="23">
        <f>SUM(X95:X101)</f>
        <v>0</v>
      </c>
      <c r="AA95" s="20"/>
    </row>
    <row r="96" spans="2:27" hidden="1">
      <c r="B96" s="16"/>
      <c r="C96" s="17" t="s">
        <v>142</v>
      </c>
      <c r="D96" s="2"/>
      <c r="E96" s="2" t="s">
        <v>37</v>
      </c>
      <c r="F96" s="18">
        <f t="shared" si="63"/>
        <v>0</v>
      </c>
      <c r="G96" s="19"/>
      <c r="H96" s="19">
        <f t="shared" si="64"/>
        <v>0</v>
      </c>
      <c r="I96" s="2"/>
      <c r="J96" s="18"/>
      <c r="K96" s="18"/>
      <c r="L96" s="19"/>
      <c r="M96" s="19">
        <f t="shared" si="65"/>
        <v>0</v>
      </c>
      <c r="N96" s="19"/>
      <c r="O96" s="18"/>
      <c r="P96" s="20"/>
      <c r="Q96" s="20"/>
      <c r="R96" s="18"/>
      <c r="S96" s="19">
        <f>O96*P96*Q96</f>
        <v>0</v>
      </c>
      <c r="T96" s="19">
        <f>S96*$T$3</f>
        <v>0</v>
      </c>
      <c r="U96" s="21">
        <f>P96*R96*(Q96/24)</f>
        <v>0</v>
      </c>
      <c r="V96" s="22">
        <f t="shared" si="66"/>
        <v>0</v>
      </c>
      <c r="W96" s="23"/>
      <c r="X96" s="22">
        <f>IFERROR(1/(P96*Q96/24),0)</f>
        <v>0</v>
      </c>
      <c r="Y96" s="23"/>
      <c r="AA96" s="20"/>
    </row>
    <row r="97" spans="2:27" hidden="1">
      <c r="B97" s="16"/>
      <c r="C97" s="17" t="s">
        <v>143</v>
      </c>
      <c r="D97" s="2"/>
      <c r="E97" s="2" t="s">
        <v>37</v>
      </c>
      <c r="F97" s="18">
        <f t="shared" si="63"/>
        <v>0</v>
      </c>
      <c r="G97" s="19"/>
      <c r="H97" s="19">
        <f t="shared" si="64"/>
        <v>0</v>
      </c>
      <c r="I97" s="2"/>
      <c r="J97" s="18"/>
      <c r="K97" s="18"/>
      <c r="L97" s="19"/>
      <c r="M97" s="19">
        <f t="shared" si="65"/>
        <v>0</v>
      </c>
      <c r="N97" s="19"/>
      <c r="O97" s="18"/>
      <c r="P97" s="20"/>
      <c r="Q97" s="20"/>
      <c r="R97" s="18"/>
      <c r="S97" s="19">
        <f>O97*P97*Q97</f>
        <v>0</v>
      </c>
      <c r="T97" s="19">
        <f>S97*$T$3</f>
        <v>0</v>
      </c>
      <c r="U97" s="21">
        <f>P97*R97*(Q97/24)</f>
        <v>0</v>
      </c>
      <c r="V97" s="22">
        <f t="shared" si="66"/>
        <v>0</v>
      </c>
      <c r="W97" s="23"/>
      <c r="X97" s="22">
        <f>IFERROR(1/(P97*Q97/24),0)</f>
        <v>0</v>
      </c>
      <c r="Y97" s="23"/>
      <c r="AA97" s="20"/>
    </row>
    <row r="98" spans="2:27" hidden="1">
      <c r="B98" s="16"/>
      <c r="C98" s="17" t="s">
        <v>144</v>
      </c>
      <c r="D98" s="2"/>
      <c r="E98" s="2" t="s">
        <v>37</v>
      </c>
      <c r="F98" s="18">
        <f t="shared" si="63"/>
        <v>0</v>
      </c>
      <c r="G98" s="19"/>
      <c r="H98" s="19">
        <f t="shared" si="64"/>
        <v>0</v>
      </c>
      <c r="I98" s="2"/>
      <c r="J98" s="18"/>
      <c r="K98" s="18"/>
      <c r="L98" s="19"/>
      <c r="M98" s="19">
        <f t="shared" si="65"/>
        <v>0</v>
      </c>
      <c r="N98" s="19"/>
      <c r="O98" s="18"/>
      <c r="P98" s="20"/>
      <c r="Q98" s="20"/>
      <c r="R98" s="18"/>
      <c r="S98" s="19">
        <f>O98*P98*Q98</f>
        <v>0</v>
      </c>
      <c r="T98" s="19">
        <f>S98*$T$3</f>
        <v>0</v>
      </c>
      <c r="U98" s="21">
        <f>P98*R98*(Q98/24)</f>
        <v>0</v>
      </c>
      <c r="V98" s="22">
        <f t="shared" si="66"/>
        <v>0</v>
      </c>
      <c r="W98" s="23"/>
      <c r="X98" s="22">
        <f>IFERROR(1/(P98*Q98/24),0)</f>
        <v>0</v>
      </c>
      <c r="Y98" s="23"/>
      <c r="AA98" s="20"/>
    </row>
    <row r="99" spans="2:27" hidden="1">
      <c r="B99" s="16"/>
      <c r="C99" s="17" t="s">
        <v>145</v>
      </c>
      <c r="D99" s="2"/>
      <c r="E99" s="2" t="s">
        <v>37</v>
      </c>
      <c r="F99" s="18">
        <f t="shared" si="63"/>
        <v>0</v>
      </c>
      <c r="G99" s="19"/>
      <c r="H99" s="19">
        <f t="shared" si="64"/>
        <v>0</v>
      </c>
      <c r="I99" s="2"/>
      <c r="J99" s="18"/>
      <c r="K99" s="18"/>
      <c r="L99" s="19"/>
      <c r="M99" s="19">
        <f t="shared" si="65"/>
        <v>0</v>
      </c>
      <c r="N99" s="19"/>
      <c r="O99" s="18"/>
      <c r="P99" s="20"/>
      <c r="Q99" s="20"/>
      <c r="R99" s="18"/>
      <c r="S99" s="19">
        <f>O99*P99*Q99</f>
        <v>0</v>
      </c>
      <c r="T99" s="19">
        <f>S99*$T$3</f>
        <v>0</v>
      </c>
      <c r="U99" s="21">
        <f>P99*R99*(Q99/24)</f>
        <v>0</v>
      </c>
      <c r="V99" s="22">
        <f t="shared" si="66"/>
        <v>0</v>
      </c>
      <c r="W99" s="23"/>
      <c r="X99" s="22">
        <f>IFERROR(1/(P99*Q99/24),0)</f>
        <v>0</v>
      </c>
      <c r="Y99" s="23"/>
      <c r="AA99" s="20"/>
    </row>
    <row r="100" spans="2:27" hidden="1">
      <c r="B100" s="16"/>
      <c r="C100" s="3" t="s">
        <v>39</v>
      </c>
      <c r="D100" s="2"/>
      <c r="E100" s="24" t="s">
        <v>39</v>
      </c>
      <c r="F100" s="18"/>
      <c r="G100" s="19"/>
      <c r="H100" s="19">
        <f t="shared" si="64"/>
        <v>0</v>
      </c>
      <c r="I100" s="2"/>
      <c r="J100" s="18"/>
      <c r="K100" s="18"/>
      <c r="L100" s="19"/>
      <c r="M100" s="19">
        <f t="shared" si="65"/>
        <v>0</v>
      </c>
      <c r="N100" s="19"/>
      <c r="O100" s="18"/>
      <c r="P100" s="20"/>
      <c r="Q100" s="20"/>
      <c r="R100" s="18"/>
      <c r="S100" s="19"/>
      <c r="T100" s="19"/>
      <c r="U100" s="21"/>
      <c r="V100" s="22"/>
      <c r="W100" s="23"/>
      <c r="X100" s="22"/>
      <c r="Y100" s="23"/>
      <c r="AA100" s="20"/>
    </row>
    <row r="101" spans="2:27" ht="3.75" hidden="1" customHeight="1">
      <c r="B101" s="25" t="s">
        <v>40</v>
      </c>
      <c r="C101" s="26" t="s">
        <v>40</v>
      </c>
      <c r="D101" s="27"/>
      <c r="E101" s="27" t="s">
        <v>40</v>
      </c>
      <c r="F101" s="25" t="s">
        <v>40</v>
      </c>
      <c r="G101" s="28"/>
      <c r="H101" s="28" t="s">
        <v>40</v>
      </c>
      <c r="I101" s="27"/>
      <c r="J101" s="25"/>
      <c r="K101" s="25"/>
      <c r="L101" s="28"/>
      <c r="M101" s="28"/>
      <c r="N101" s="28" t="s">
        <v>40</v>
      </c>
      <c r="O101" s="25"/>
      <c r="P101" s="29" t="s">
        <v>40</v>
      </c>
      <c r="Q101" s="29" t="s">
        <v>40</v>
      </c>
      <c r="R101" s="25" t="s">
        <v>40</v>
      </c>
      <c r="S101" s="28" t="s">
        <v>40</v>
      </c>
      <c r="T101" s="28" t="s">
        <v>40</v>
      </c>
      <c r="U101" s="28"/>
      <c r="V101" s="28"/>
      <c r="W101" s="28" t="s">
        <v>40</v>
      </c>
      <c r="X101" s="28" t="s">
        <v>40</v>
      </c>
      <c r="Y101" s="28" t="s">
        <v>40</v>
      </c>
      <c r="AA101" s="29"/>
    </row>
    <row r="102" spans="2:27" hidden="1">
      <c r="B102" s="16" t="s">
        <v>146</v>
      </c>
      <c r="C102" s="17" t="s">
        <v>147</v>
      </c>
      <c r="D102" s="2"/>
      <c r="E102" s="2" t="s">
        <v>37</v>
      </c>
      <c r="F102" s="18">
        <f t="shared" ref="F102:F103" si="67">O102</f>
        <v>0</v>
      </c>
      <c r="G102" s="19"/>
      <c r="H102" s="19">
        <f>F102*G102</f>
        <v>0</v>
      </c>
      <c r="I102" s="18"/>
      <c r="J102" s="18"/>
      <c r="K102" s="18"/>
      <c r="L102" s="19"/>
      <c r="M102" s="19">
        <f t="shared" ref="M102:M104" si="68">IFERROR(L102*F102,"")</f>
        <v>0</v>
      </c>
      <c r="N102" s="19"/>
      <c r="O102" s="18"/>
      <c r="P102" s="20"/>
      <c r="Q102" s="20"/>
      <c r="R102" s="18"/>
      <c r="S102" s="19">
        <f>O102*P102*Q102</f>
        <v>0</v>
      </c>
      <c r="T102" s="19">
        <f>S102*$T$3</f>
        <v>0</v>
      </c>
      <c r="U102" s="21">
        <f>P102*R102*(Q102/24)</f>
        <v>0</v>
      </c>
      <c r="V102" s="22">
        <f t="shared" si="66"/>
        <v>0</v>
      </c>
      <c r="W102" s="23">
        <f>SUM(V102:V104)</f>
        <v>0</v>
      </c>
      <c r="X102" s="22">
        <f>IFERROR(1/(P102*Q102/24),0)</f>
        <v>0</v>
      </c>
      <c r="Y102" s="23">
        <f>SUM(X102:X104)</f>
        <v>0</v>
      </c>
      <c r="AA102" s="20"/>
    </row>
    <row r="103" spans="2:27" hidden="1">
      <c r="B103" s="16"/>
      <c r="C103" s="17" t="s">
        <v>148</v>
      </c>
      <c r="D103" s="2"/>
      <c r="E103" s="2" t="s">
        <v>37</v>
      </c>
      <c r="F103" s="18">
        <f t="shared" si="67"/>
        <v>0</v>
      </c>
      <c r="G103" s="19"/>
      <c r="H103" s="19">
        <f>F103*G103</f>
        <v>0</v>
      </c>
      <c r="I103" s="2"/>
      <c r="J103" s="18"/>
      <c r="K103" s="18"/>
      <c r="L103" s="19"/>
      <c r="M103" s="19">
        <f t="shared" si="68"/>
        <v>0</v>
      </c>
      <c r="N103" s="19"/>
      <c r="O103" s="18"/>
      <c r="P103" s="20"/>
      <c r="Q103" s="20"/>
      <c r="R103" s="18"/>
      <c r="S103" s="19">
        <f>O103*P103*Q103</f>
        <v>0</v>
      </c>
      <c r="T103" s="19">
        <f>S103*$T$3</f>
        <v>0</v>
      </c>
      <c r="U103" s="21">
        <f>P103*R103*(Q103/24)</f>
        <v>0</v>
      </c>
      <c r="V103" s="22">
        <f t="shared" si="66"/>
        <v>0</v>
      </c>
      <c r="W103" s="23"/>
      <c r="X103" s="22">
        <f>IFERROR(1/(P103*Q103/24),0)</f>
        <v>0</v>
      </c>
      <c r="Y103" s="23"/>
      <c r="AA103" s="20"/>
    </row>
    <row r="104" spans="2:27" hidden="1">
      <c r="B104" s="16"/>
      <c r="C104" s="3" t="s">
        <v>39</v>
      </c>
      <c r="D104" s="2"/>
      <c r="E104" s="24" t="s">
        <v>39</v>
      </c>
      <c r="F104" s="18"/>
      <c r="G104" s="19"/>
      <c r="H104" s="19">
        <f>F104*G104</f>
        <v>0</v>
      </c>
      <c r="I104" s="2"/>
      <c r="J104" s="18"/>
      <c r="K104" s="18"/>
      <c r="L104" s="19"/>
      <c r="M104" s="19">
        <f t="shared" si="68"/>
        <v>0</v>
      </c>
      <c r="N104" s="19"/>
      <c r="O104" s="18"/>
      <c r="P104" s="20"/>
      <c r="Q104" s="20"/>
      <c r="R104" s="18"/>
      <c r="S104" s="19"/>
      <c r="T104" s="19"/>
      <c r="U104" s="21"/>
      <c r="V104" s="22"/>
      <c r="W104" s="23"/>
      <c r="X104" s="22"/>
      <c r="Y104" s="23"/>
      <c r="AA104" s="20"/>
    </row>
    <row r="105" spans="2:27" ht="3.75" hidden="1" customHeight="1">
      <c r="B105" s="25" t="s">
        <v>40</v>
      </c>
      <c r="C105" s="26" t="s">
        <v>40</v>
      </c>
      <c r="D105" s="27"/>
      <c r="E105" s="27" t="s">
        <v>40</v>
      </c>
      <c r="F105" s="25" t="s">
        <v>40</v>
      </c>
      <c r="G105" s="28"/>
      <c r="H105" s="28" t="s">
        <v>40</v>
      </c>
      <c r="I105" s="27"/>
      <c r="J105" s="25"/>
      <c r="K105" s="25"/>
      <c r="L105" s="28"/>
      <c r="M105" s="28"/>
      <c r="N105" s="28" t="s">
        <v>40</v>
      </c>
      <c r="O105" s="25"/>
      <c r="P105" s="29" t="s">
        <v>40</v>
      </c>
      <c r="Q105" s="29" t="s">
        <v>40</v>
      </c>
      <c r="R105" s="25" t="s">
        <v>40</v>
      </c>
      <c r="S105" s="28" t="s">
        <v>40</v>
      </c>
      <c r="T105" s="28" t="s">
        <v>40</v>
      </c>
      <c r="U105" s="28"/>
      <c r="V105" s="28"/>
      <c r="W105" s="28" t="s">
        <v>40</v>
      </c>
      <c r="X105" s="28" t="s">
        <v>40</v>
      </c>
      <c r="Y105" s="28" t="s">
        <v>40</v>
      </c>
      <c r="AA105" s="29"/>
    </row>
    <row r="106" spans="2:27" ht="16">
      <c r="B106" s="30" t="s">
        <v>149</v>
      </c>
      <c r="C106" s="35" t="s">
        <v>150</v>
      </c>
      <c r="D106" s="36" t="s">
        <v>93</v>
      </c>
      <c r="E106" s="36" t="s">
        <v>37</v>
      </c>
      <c r="F106" s="37">
        <f t="shared" ref="F106" si="69">O106</f>
        <v>0.2</v>
      </c>
      <c r="G106" s="38">
        <v>5440000</v>
      </c>
      <c r="H106" s="38">
        <f>G106*(F106+0.1/4)</f>
        <v>1224000</v>
      </c>
      <c r="I106" s="36" t="s">
        <v>151</v>
      </c>
      <c r="J106" s="37" t="s">
        <v>152</v>
      </c>
      <c r="K106" s="55" t="s">
        <v>153</v>
      </c>
      <c r="L106" s="38">
        <v>350000</v>
      </c>
      <c r="M106" s="38">
        <f t="shared" ref="M106:M107" si="70">L106*F106</f>
        <v>70000</v>
      </c>
      <c r="N106" s="38"/>
      <c r="O106" s="37">
        <v>0.2</v>
      </c>
      <c r="P106" s="41">
        <f>175*432/252</f>
        <v>300</v>
      </c>
      <c r="Q106" s="41">
        <v>21.6</v>
      </c>
      <c r="R106" s="37">
        <v>3</v>
      </c>
      <c r="S106" s="38">
        <f t="shared" ref="S106" si="71">O106*P106*Q106</f>
        <v>1296</v>
      </c>
      <c r="T106" s="38">
        <f>S106*$T$3</f>
        <v>38880</v>
      </c>
      <c r="U106" s="42">
        <f>P106*R106*(Q106/24)</f>
        <v>810</v>
      </c>
      <c r="V106" s="43">
        <f t="shared" si="66"/>
        <v>1.2345679012345679E-3</v>
      </c>
      <c r="W106" s="63">
        <f>SUM(V106:V110)</f>
        <v>1.2345679012345679E-3</v>
      </c>
      <c r="X106" s="43">
        <f>IFERROR(1/(P106*Q106/24),0)</f>
        <v>3.7037037037037038E-3</v>
      </c>
      <c r="Y106" s="63">
        <f>SUM(X106:X110)</f>
        <v>3.7037037037037038E-3</v>
      </c>
      <c r="Z106" s="45"/>
      <c r="AA106" s="46" t="s">
        <v>101</v>
      </c>
    </row>
    <row r="107" spans="2:27" ht="16">
      <c r="B107" s="31"/>
      <c r="C107" s="35" t="s">
        <v>150</v>
      </c>
      <c r="D107" s="36" t="s">
        <v>80</v>
      </c>
      <c r="E107" s="36" t="s">
        <v>59</v>
      </c>
      <c r="F107" s="37">
        <v>1</v>
      </c>
      <c r="G107" s="38">
        <v>1600000</v>
      </c>
      <c r="H107" s="38">
        <f t="shared" ref="H107:H117" si="72">F107*G107</f>
        <v>1600000</v>
      </c>
      <c r="I107" s="36" t="s">
        <v>151</v>
      </c>
      <c r="J107" s="37" t="s">
        <v>152</v>
      </c>
      <c r="K107" s="37"/>
      <c r="L107" s="38"/>
      <c r="M107" s="38">
        <f t="shared" si="70"/>
        <v>0</v>
      </c>
      <c r="N107" s="38"/>
      <c r="O107" s="37"/>
      <c r="P107" s="41"/>
      <c r="Q107" s="41"/>
      <c r="R107" s="37"/>
      <c r="S107" s="38"/>
      <c r="T107" s="38"/>
      <c r="U107" s="42"/>
      <c r="V107" s="43"/>
      <c r="W107" s="64"/>
      <c r="X107" s="43"/>
      <c r="Y107" s="64"/>
      <c r="Z107" s="45"/>
      <c r="AA107" s="56" t="s">
        <v>154</v>
      </c>
    </row>
    <row r="108" spans="2:27" hidden="1">
      <c r="B108" s="31"/>
      <c r="C108" s="17" t="s">
        <v>155</v>
      </c>
      <c r="D108" s="2"/>
      <c r="E108" s="2" t="s">
        <v>37</v>
      </c>
      <c r="F108" s="18">
        <f t="shared" ref="F108:F115" si="73">O108</f>
        <v>0</v>
      </c>
      <c r="G108" s="19"/>
      <c r="H108" s="19">
        <f t="shared" si="72"/>
        <v>0</v>
      </c>
      <c r="I108" s="2"/>
      <c r="J108" s="18"/>
      <c r="K108" s="18"/>
      <c r="L108" s="19"/>
      <c r="M108" s="19">
        <f t="shared" ref="M108:M117" si="74">IFERROR(L108*F108,"")</f>
        <v>0</v>
      </c>
      <c r="N108" s="19"/>
      <c r="O108" s="18"/>
      <c r="P108" s="20"/>
      <c r="Q108" s="20"/>
      <c r="R108" s="18"/>
      <c r="S108" s="19">
        <f>O108*P108*Q108</f>
        <v>0</v>
      </c>
      <c r="T108" s="19">
        <f>S108*$T$3</f>
        <v>0</v>
      </c>
      <c r="U108" s="21">
        <f>P108*R108*(Q108/24)</f>
        <v>0</v>
      </c>
      <c r="V108" s="22">
        <f t="shared" si="66"/>
        <v>0</v>
      </c>
      <c r="W108" s="61"/>
      <c r="X108" s="22">
        <f>IFERROR(1/(P108*Q108/24),0)</f>
        <v>0</v>
      </c>
      <c r="Y108" s="61"/>
      <c r="AA108" s="20"/>
    </row>
    <row r="109" spans="2:27" hidden="1">
      <c r="B109" s="31"/>
      <c r="C109" s="17" t="s">
        <v>156</v>
      </c>
      <c r="D109" s="2"/>
      <c r="E109" s="2" t="s">
        <v>37</v>
      </c>
      <c r="F109" s="18">
        <f t="shared" si="73"/>
        <v>0</v>
      </c>
      <c r="G109" s="19"/>
      <c r="H109" s="19">
        <f t="shared" si="72"/>
        <v>0</v>
      </c>
      <c r="I109" s="2"/>
      <c r="J109" s="18"/>
      <c r="K109" s="18"/>
      <c r="L109" s="19"/>
      <c r="M109" s="19">
        <f t="shared" si="74"/>
        <v>0</v>
      </c>
      <c r="N109" s="19"/>
      <c r="O109" s="18"/>
      <c r="P109" s="20"/>
      <c r="Q109" s="20"/>
      <c r="R109" s="18"/>
      <c r="S109" s="19">
        <f>O109*P109*Q109</f>
        <v>0</v>
      </c>
      <c r="T109" s="19">
        <f>S109*$T$3</f>
        <v>0</v>
      </c>
      <c r="U109" s="21">
        <f>P109*R109*(Q109/24)</f>
        <v>0</v>
      </c>
      <c r="V109" s="22">
        <f t="shared" si="66"/>
        <v>0</v>
      </c>
      <c r="W109" s="61"/>
      <c r="X109" s="22">
        <f>IFERROR(1/(P109*Q109/24),0)</f>
        <v>0</v>
      </c>
      <c r="Y109" s="61"/>
      <c r="AA109" s="20"/>
    </row>
    <row r="110" spans="2:27" hidden="1">
      <c r="B110" s="32"/>
      <c r="C110" s="18" t="s">
        <v>157</v>
      </c>
      <c r="D110" s="2"/>
      <c r="E110" s="2" t="s">
        <v>59</v>
      </c>
      <c r="F110" s="18"/>
      <c r="G110" s="19"/>
      <c r="H110" s="19">
        <f t="shared" si="72"/>
        <v>0</v>
      </c>
      <c r="I110" s="2"/>
      <c r="J110" s="18"/>
      <c r="K110" s="18"/>
      <c r="L110" s="19"/>
      <c r="M110" s="19">
        <f t="shared" si="74"/>
        <v>0</v>
      </c>
      <c r="N110" s="19"/>
      <c r="O110" s="18"/>
      <c r="P110" s="20"/>
      <c r="Q110" s="20"/>
      <c r="R110" s="18"/>
      <c r="S110" s="19"/>
      <c r="T110" s="19"/>
      <c r="U110" s="21"/>
      <c r="V110" s="22"/>
      <c r="W110" s="62"/>
      <c r="X110" s="22"/>
      <c r="Y110" s="62"/>
      <c r="AA110" s="20"/>
    </row>
    <row r="111" spans="2:27" ht="3.75" hidden="1" customHeight="1">
      <c r="B111" s="25" t="s">
        <v>40</v>
      </c>
      <c r="C111" s="26" t="s">
        <v>40</v>
      </c>
      <c r="D111" s="27"/>
      <c r="E111" s="27" t="s">
        <v>40</v>
      </c>
      <c r="F111" s="25" t="s">
        <v>40</v>
      </c>
      <c r="G111" s="28"/>
      <c r="H111" s="28" t="s">
        <v>40</v>
      </c>
      <c r="I111" s="27"/>
      <c r="J111" s="25"/>
      <c r="K111" s="25"/>
      <c r="L111" s="28"/>
      <c r="M111" s="28"/>
      <c r="N111" s="28" t="s">
        <v>40</v>
      </c>
      <c r="O111" s="25"/>
      <c r="P111" s="29" t="s">
        <v>40</v>
      </c>
      <c r="Q111" s="29" t="s">
        <v>40</v>
      </c>
      <c r="R111" s="25" t="s">
        <v>40</v>
      </c>
      <c r="S111" s="28" t="s">
        <v>40</v>
      </c>
      <c r="T111" s="28" t="s">
        <v>40</v>
      </c>
      <c r="U111" s="28"/>
      <c r="V111" s="28"/>
      <c r="W111" s="28" t="s">
        <v>40</v>
      </c>
      <c r="X111" s="28" t="s">
        <v>40</v>
      </c>
      <c r="Y111" s="28" t="s">
        <v>40</v>
      </c>
      <c r="AA111" s="29"/>
    </row>
    <row r="112" spans="2:27" hidden="1">
      <c r="B112" s="30" t="s">
        <v>158</v>
      </c>
      <c r="C112" s="17" t="s">
        <v>137</v>
      </c>
      <c r="D112" s="2"/>
      <c r="E112" s="2" t="s">
        <v>37</v>
      </c>
      <c r="F112" s="18">
        <f t="shared" si="73"/>
        <v>0</v>
      </c>
      <c r="G112" s="19"/>
      <c r="H112" s="19">
        <f t="shared" si="72"/>
        <v>0</v>
      </c>
      <c r="I112" s="2"/>
      <c r="J112" s="18"/>
      <c r="K112" s="18"/>
      <c r="L112" s="19"/>
      <c r="M112" s="19">
        <f t="shared" si="74"/>
        <v>0</v>
      </c>
      <c r="N112" s="19"/>
      <c r="O112" s="18"/>
      <c r="P112" s="33"/>
      <c r="Q112" s="20"/>
      <c r="R112" s="18"/>
      <c r="S112" s="19">
        <f>O112*P112*Q112</f>
        <v>0</v>
      </c>
      <c r="T112" s="19">
        <f>S112*$T$3</f>
        <v>0</v>
      </c>
      <c r="U112" s="21">
        <f>P112*R112*(Q112/24)</f>
        <v>0</v>
      </c>
      <c r="V112" s="22">
        <f t="shared" si="66"/>
        <v>0</v>
      </c>
      <c r="W112" s="60">
        <f>SUM(V112:V117)</f>
        <v>0</v>
      </c>
      <c r="X112" s="22">
        <f>IFERROR(1/(P112*Q112/24),0)</f>
        <v>0</v>
      </c>
      <c r="Y112" s="60">
        <f>SUM(X112:X117)</f>
        <v>0</v>
      </c>
      <c r="AA112" s="33"/>
    </row>
    <row r="113" spans="2:27" hidden="1">
      <c r="B113" s="31"/>
      <c r="C113" s="17" t="s">
        <v>138</v>
      </c>
      <c r="D113" s="2"/>
      <c r="E113" s="2" t="s">
        <v>37</v>
      </c>
      <c r="F113" s="18">
        <f t="shared" si="73"/>
        <v>0</v>
      </c>
      <c r="G113" s="19"/>
      <c r="H113" s="19">
        <f t="shared" si="72"/>
        <v>0</v>
      </c>
      <c r="I113" s="2"/>
      <c r="J113" s="18"/>
      <c r="K113" s="18"/>
      <c r="L113" s="19"/>
      <c r="M113" s="19">
        <f t="shared" si="74"/>
        <v>0</v>
      </c>
      <c r="N113" s="19"/>
      <c r="O113" s="18"/>
      <c r="P113" s="33"/>
      <c r="Q113" s="20"/>
      <c r="R113" s="18"/>
      <c r="S113" s="19">
        <f>O113*P113*Q113</f>
        <v>0</v>
      </c>
      <c r="T113" s="19">
        <f>S113*$T$3</f>
        <v>0</v>
      </c>
      <c r="U113" s="21">
        <f>P113*R113*(Q113/24)</f>
        <v>0</v>
      </c>
      <c r="V113" s="22">
        <f t="shared" si="66"/>
        <v>0</v>
      </c>
      <c r="W113" s="61"/>
      <c r="X113" s="22">
        <f>IFERROR(1/(P113*Q113/24),0)</f>
        <v>0</v>
      </c>
      <c r="Y113" s="61"/>
      <c r="AA113" s="33"/>
    </row>
    <row r="114" spans="2:27" hidden="1">
      <c r="B114" s="31"/>
      <c r="C114" s="17" t="s">
        <v>159</v>
      </c>
      <c r="D114" s="2"/>
      <c r="E114" s="2" t="s">
        <v>37</v>
      </c>
      <c r="F114" s="18">
        <f t="shared" si="73"/>
        <v>0</v>
      </c>
      <c r="G114" s="19"/>
      <c r="H114" s="19">
        <f t="shared" si="72"/>
        <v>0</v>
      </c>
      <c r="I114" s="2"/>
      <c r="J114" s="18"/>
      <c r="K114" s="18"/>
      <c r="L114" s="19"/>
      <c r="M114" s="19">
        <f t="shared" si="74"/>
        <v>0</v>
      </c>
      <c r="N114" s="19"/>
      <c r="O114" s="18"/>
      <c r="P114" s="33"/>
      <c r="Q114" s="20"/>
      <c r="R114" s="18"/>
      <c r="S114" s="19">
        <f>O114*P114*Q114</f>
        <v>0</v>
      </c>
      <c r="T114" s="19">
        <f>S114*$T$3</f>
        <v>0</v>
      </c>
      <c r="U114" s="21">
        <f>P114*R114*(Q114/24)</f>
        <v>0</v>
      </c>
      <c r="V114" s="22">
        <f t="shared" si="66"/>
        <v>0</v>
      </c>
      <c r="W114" s="61"/>
      <c r="X114" s="22">
        <f>IFERROR(1/(P114*Q114/24),0)</f>
        <v>0</v>
      </c>
      <c r="Y114" s="61"/>
      <c r="AA114" s="33"/>
    </row>
    <row r="115" spans="2:27" hidden="1">
      <c r="B115" s="31"/>
      <c r="C115" s="17" t="s">
        <v>160</v>
      </c>
      <c r="D115" s="2"/>
      <c r="E115" s="2" t="s">
        <v>37</v>
      </c>
      <c r="F115" s="18">
        <f t="shared" si="73"/>
        <v>0</v>
      </c>
      <c r="G115" s="19"/>
      <c r="H115" s="19">
        <f t="shared" si="72"/>
        <v>0</v>
      </c>
      <c r="I115" s="2"/>
      <c r="J115" s="18"/>
      <c r="K115" s="18"/>
      <c r="L115" s="19"/>
      <c r="M115" s="19">
        <f t="shared" si="74"/>
        <v>0</v>
      </c>
      <c r="N115" s="19"/>
      <c r="O115" s="18"/>
      <c r="P115" s="33"/>
      <c r="Q115" s="20"/>
      <c r="R115" s="18"/>
      <c r="S115" s="19">
        <f>O115*P115*Q115</f>
        <v>0</v>
      </c>
      <c r="T115" s="19">
        <f>S115*$T$3</f>
        <v>0</v>
      </c>
      <c r="U115" s="21">
        <f>P115*R115*(Q115/24)</f>
        <v>0</v>
      </c>
      <c r="V115" s="22">
        <f t="shared" si="66"/>
        <v>0</v>
      </c>
      <c r="W115" s="61"/>
      <c r="X115" s="22">
        <f>IFERROR(1/(P115*Q115/24),0)</f>
        <v>0</v>
      </c>
      <c r="Y115" s="61"/>
      <c r="AA115" s="33"/>
    </row>
    <row r="116" spans="2:27" hidden="1">
      <c r="B116" s="31"/>
      <c r="C116" s="18" t="s">
        <v>161</v>
      </c>
      <c r="D116" s="2"/>
      <c r="E116" s="2" t="s">
        <v>37</v>
      </c>
      <c r="F116" s="18"/>
      <c r="G116" s="19"/>
      <c r="H116" s="19">
        <f t="shared" si="72"/>
        <v>0</v>
      </c>
      <c r="I116" s="2"/>
      <c r="J116" s="18"/>
      <c r="K116" s="18"/>
      <c r="L116" s="19"/>
      <c r="M116" s="19">
        <f t="shared" si="74"/>
        <v>0</v>
      </c>
      <c r="N116" s="19"/>
      <c r="O116" s="18"/>
      <c r="P116" s="33"/>
      <c r="Q116" s="20"/>
      <c r="R116" s="18"/>
      <c r="S116" s="19">
        <f>O116*P116*Q116</f>
        <v>0</v>
      </c>
      <c r="T116" s="19">
        <f>S116*$T$3</f>
        <v>0</v>
      </c>
      <c r="U116" s="21">
        <f>P116*R116*(Q116/24)</f>
        <v>0</v>
      </c>
      <c r="V116" s="22">
        <f t="shared" si="66"/>
        <v>0</v>
      </c>
      <c r="W116" s="61"/>
      <c r="X116" s="22"/>
      <c r="Y116" s="61"/>
      <c r="AA116" s="33"/>
    </row>
    <row r="117" spans="2:27" hidden="1">
      <c r="B117" s="32"/>
      <c r="C117" s="18" t="s">
        <v>39</v>
      </c>
      <c r="D117" s="2"/>
      <c r="E117" s="24" t="s">
        <v>39</v>
      </c>
      <c r="F117" s="18"/>
      <c r="G117" s="19"/>
      <c r="H117" s="19">
        <f t="shared" si="72"/>
        <v>0</v>
      </c>
      <c r="I117" s="2"/>
      <c r="J117" s="18"/>
      <c r="K117" s="18"/>
      <c r="L117" s="19"/>
      <c r="M117" s="19">
        <f t="shared" si="74"/>
        <v>0</v>
      </c>
      <c r="N117" s="19"/>
      <c r="O117" s="18"/>
      <c r="P117" s="20"/>
      <c r="Q117" s="20"/>
      <c r="R117" s="18"/>
      <c r="S117" s="19"/>
      <c r="T117" s="19"/>
      <c r="U117" s="21"/>
      <c r="V117" s="22"/>
      <c r="W117" s="62"/>
      <c r="X117" s="22"/>
      <c r="Y117" s="62"/>
      <c r="AA117" s="20"/>
    </row>
    <row r="118" spans="2:27" ht="3.75" hidden="1" customHeight="1">
      <c r="B118" s="25" t="s">
        <v>40</v>
      </c>
      <c r="C118" s="26" t="s">
        <v>40</v>
      </c>
      <c r="D118" s="27"/>
      <c r="E118" s="27" t="s">
        <v>40</v>
      </c>
      <c r="F118" s="25" t="s">
        <v>40</v>
      </c>
      <c r="G118" s="28"/>
      <c r="H118" s="28" t="s">
        <v>40</v>
      </c>
      <c r="I118" s="27"/>
      <c r="J118" s="25"/>
      <c r="K118" s="25"/>
      <c r="L118" s="28"/>
      <c r="M118" s="28"/>
      <c r="N118" s="28" t="s">
        <v>40</v>
      </c>
      <c r="O118" s="25"/>
      <c r="P118" s="29" t="s">
        <v>40</v>
      </c>
      <c r="Q118" s="29" t="s">
        <v>40</v>
      </c>
      <c r="R118" s="25" t="s">
        <v>40</v>
      </c>
      <c r="S118" s="28" t="s">
        <v>40</v>
      </c>
      <c r="T118" s="28" t="s">
        <v>40</v>
      </c>
      <c r="U118" s="28"/>
      <c r="V118" s="28"/>
      <c r="W118" s="28" t="s">
        <v>40</v>
      </c>
      <c r="X118" s="28" t="s">
        <v>40</v>
      </c>
      <c r="Y118" s="28" t="s">
        <v>40</v>
      </c>
      <c r="AA118" s="29"/>
    </row>
    <row r="119" spans="2:27" ht="16">
      <c r="B119" s="16" t="s">
        <v>162</v>
      </c>
      <c r="C119" s="65" t="s">
        <v>163</v>
      </c>
      <c r="D119" s="36" t="s">
        <v>80</v>
      </c>
      <c r="E119" s="36" t="s">
        <v>37</v>
      </c>
      <c r="F119" s="37">
        <f t="shared" ref="F119:F120" si="75">O119</f>
        <v>1</v>
      </c>
      <c r="G119" s="58">
        <v>2909700</v>
      </c>
      <c r="H119" s="38">
        <f>F119*G119</f>
        <v>2909700</v>
      </c>
      <c r="I119" s="36" t="s">
        <v>164</v>
      </c>
      <c r="J119" s="37" t="s">
        <v>165</v>
      </c>
      <c r="K119" s="55" t="s">
        <v>166</v>
      </c>
      <c r="L119" s="38">
        <v>150000</v>
      </c>
      <c r="M119" s="38">
        <f t="shared" ref="M119:M120" si="76">L119*F119</f>
        <v>150000</v>
      </c>
      <c r="N119" s="38"/>
      <c r="O119" s="37">
        <v>1</v>
      </c>
      <c r="P119" s="41">
        <v>8</v>
      </c>
      <c r="Q119" s="41">
        <v>14.8</v>
      </c>
      <c r="R119" s="37">
        <v>4</v>
      </c>
      <c r="S119" s="38">
        <f t="shared" ref="S119" si="77">O119*P119*Q119</f>
        <v>118.4</v>
      </c>
      <c r="T119" s="38">
        <f>S119*$T$3</f>
        <v>3552</v>
      </c>
      <c r="U119" s="42">
        <f>P119*R119*(Q119/24)</f>
        <v>19.733333333333334</v>
      </c>
      <c r="V119" s="43">
        <f t="shared" si="66"/>
        <v>5.0675675675675672E-2</v>
      </c>
      <c r="W119" s="44">
        <f>SUM(V119:V121)</f>
        <v>5.0675675675675672E-2</v>
      </c>
      <c r="X119" s="43">
        <f>IFERROR(1/(P119*Q119/24),0)</f>
        <v>0.20270270270270269</v>
      </c>
      <c r="Y119" s="44">
        <f>SUM(X119:X121)</f>
        <v>0.20270270270270269</v>
      </c>
      <c r="Z119" s="45"/>
      <c r="AA119" s="56" t="s">
        <v>167</v>
      </c>
    </row>
    <row r="120" spans="2:27" ht="16">
      <c r="B120" s="16"/>
      <c r="C120" s="65" t="s">
        <v>168</v>
      </c>
      <c r="D120" s="36" t="s">
        <v>80</v>
      </c>
      <c r="E120" s="36" t="s">
        <v>37</v>
      </c>
      <c r="F120" s="37">
        <f t="shared" si="75"/>
        <v>1</v>
      </c>
      <c r="G120" s="38">
        <v>1980000</v>
      </c>
      <c r="H120" s="38">
        <f>F120*G120</f>
        <v>1980000</v>
      </c>
      <c r="I120" s="36" t="s">
        <v>169</v>
      </c>
      <c r="J120" s="37" t="s">
        <v>170</v>
      </c>
      <c r="K120" s="37"/>
      <c r="L120" s="38">
        <v>75000</v>
      </c>
      <c r="M120" s="38">
        <f t="shared" si="76"/>
        <v>75000</v>
      </c>
      <c r="N120" s="38"/>
      <c r="O120" s="37">
        <v>1</v>
      </c>
      <c r="P120" s="41"/>
      <c r="Q120" s="41"/>
      <c r="R120" s="37"/>
      <c r="S120" s="38"/>
      <c r="T120" s="38"/>
      <c r="U120" s="42"/>
      <c r="V120" s="43"/>
      <c r="W120" s="44"/>
      <c r="X120" s="43"/>
      <c r="Y120" s="44"/>
      <c r="Z120" s="45"/>
      <c r="AA120" s="56" t="s">
        <v>167</v>
      </c>
    </row>
    <row r="121" spans="2:27" hidden="1">
      <c r="B121" s="16"/>
      <c r="C121" s="18" t="s">
        <v>39</v>
      </c>
      <c r="D121" s="2"/>
      <c r="E121" s="24" t="s">
        <v>39</v>
      </c>
      <c r="F121" s="18"/>
      <c r="G121" s="19"/>
      <c r="H121" s="19">
        <f>F121*G121</f>
        <v>0</v>
      </c>
      <c r="I121" s="2"/>
      <c r="J121" s="18"/>
      <c r="K121" s="18"/>
      <c r="L121" s="19"/>
      <c r="M121" s="19">
        <f t="shared" ref="M121" si="78">IFERROR(L121*F121,"")</f>
        <v>0</v>
      </c>
      <c r="N121" s="19"/>
      <c r="O121" s="18"/>
      <c r="P121" s="20"/>
      <c r="Q121" s="20"/>
      <c r="R121" s="18"/>
      <c r="S121" s="19"/>
      <c r="T121" s="19"/>
      <c r="U121" s="21"/>
      <c r="V121" s="22"/>
      <c r="W121" s="23"/>
      <c r="X121" s="22"/>
      <c r="Y121" s="23"/>
      <c r="AA121" s="20"/>
    </row>
    <row r="122" spans="2:27" hidden="1">
      <c r="C122" s="66"/>
      <c r="H122" s="4">
        <f>SUM(H6:H121)</f>
        <v>45692700</v>
      </c>
      <c r="L122" s="4">
        <f>SUM(L6:L121)</f>
        <v>3414940</v>
      </c>
      <c r="M122" s="4">
        <f>SUM(M6:M121)</f>
        <v>2947988</v>
      </c>
      <c r="N122" s="4">
        <f>SUM(N6:N121)</f>
        <v>0</v>
      </c>
      <c r="P122" s="45"/>
      <c r="Q122" s="45"/>
      <c r="R122" s="45"/>
      <c r="S122" s="67"/>
      <c r="T122" s="67">
        <f>_xlfn.MINIFS(T6:T121,T6:T121,"&gt;0")</f>
        <v>2799.12</v>
      </c>
      <c r="U122" s="45"/>
      <c r="V122" s="68"/>
      <c r="W122" s="68"/>
      <c r="X122" s="68"/>
      <c r="Y122" s="68"/>
      <c r="Z122" s="45"/>
      <c r="AA122" s="45"/>
    </row>
    <row r="123" spans="2:27" ht="16" hidden="1">
      <c r="B123" s="66"/>
      <c r="C123" s="10" t="s">
        <v>171</v>
      </c>
      <c r="P123" s="45"/>
      <c r="Q123" s="45"/>
      <c r="R123" s="45"/>
      <c r="S123" s="67"/>
      <c r="T123" s="67"/>
      <c r="U123" s="45"/>
      <c r="V123" s="68"/>
      <c r="W123" s="68"/>
      <c r="X123" s="68"/>
      <c r="Y123" s="68"/>
      <c r="Z123" s="45"/>
      <c r="AA123" s="45"/>
    </row>
    <row r="124" spans="2:27" ht="16" hidden="1">
      <c r="B124" s="69" t="s">
        <v>37</v>
      </c>
      <c r="C124" s="19">
        <f>SUMIF($E:$E,$B$124,$H:$H)</f>
        <v>31103200</v>
      </c>
      <c r="AA124" s="3"/>
    </row>
    <row r="125" spans="2:27" ht="16" hidden="1">
      <c r="B125" s="69" t="s">
        <v>59</v>
      </c>
      <c r="C125" s="19">
        <f>SUMIF($E:$E,$B$125,$H:$H)</f>
        <v>13747500</v>
      </c>
      <c r="AA125" s="3"/>
    </row>
    <row r="126" spans="2:27" ht="16" hidden="1">
      <c r="B126" s="69" t="s">
        <v>39</v>
      </c>
      <c r="C126" s="19">
        <f>SUMIF($E:$E,$B$126,$H:$H)</f>
        <v>842000</v>
      </c>
      <c r="AA126" s="3"/>
    </row>
    <row r="127" spans="2:27" ht="16" hidden="1">
      <c r="B127" s="10" t="s">
        <v>172</v>
      </c>
      <c r="C127" s="19">
        <f>SUM(C124:C126)</f>
        <v>45692700</v>
      </c>
      <c r="P127" s="70"/>
      <c r="AA127" s="70"/>
    </row>
    <row r="128" spans="2:27">
      <c r="C128" s="3"/>
    </row>
    <row r="129" spans="2:3" ht="16">
      <c r="B129" s="66"/>
      <c r="C129" s="10" t="s">
        <v>173</v>
      </c>
    </row>
    <row r="130" spans="2:3" ht="16">
      <c r="B130" s="69" t="s">
        <v>174</v>
      </c>
      <c r="C130" s="71">
        <f>M122</f>
        <v>2947988</v>
      </c>
    </row>
    <row r="131" spans="2:3">
      <c r="B131" s="66"/>
      <c r="C131" s="3"/>
    </row>
    <row r="132" spans="2:3" ht="16">
      <c r="B132" s="66"/>
      <c r="C132" s="10" t="s">
        <v>173</v>
      </c>
    </row>
    <row r="133" spans="2:3" ht="16" customHeight="1">
      <c r="B133" s="69" t="s">
        <v>175</v>
      </c>
      <c r="C133" s="72">
        <f>SUMIF($D:$D,"現有",$N:$N)</f>
        <v>0</v>
      </c>
    </row>
  </sheetData>
  <autoFilter ref="B5:AB127" xr:uid="{D9FA105D-124E-4F41-BA39-E5F964D4B001}">
    <filterColumn colId="2">
      <customFilters>
        <customFilter operator="notEqual" val=" "/>
      </customFilters>
    </filterColumn>
  </autoFilter>
  <mergeCells count="42">
    <mergeCell ref="B112:B117"/>
    <mergeCell ref="W112:W117"/>
    <mergeCell ref="Y112:Y117"/>
    <mergeCell ref="B119:B121"/>
    <mergeCell ref="W119:W121"/>
    <mergeCell ref="Y119:Y121"/>
    <mergeCell ref="B102:B104"/>
    <mergeCell ref="W102:W104"/>
    <mergeCell ref="Y102:Y104"/>
    <mergeCell ref="B106:B110"/>
    <mergeCell ref="W106:W110"/>
    <mergeCell ref="Y106:Y110"/>
    <mergeCell ref="B90:B93"/>
    <mergeCell ref="W90:W93"/>
    <mergeCell ref="Y90:Y93"/>
    <mergeCell ref="B95:B100"/>
    <mergeCell ref="W95:W100"/>
    <mergeCell ref="Y95:Y100"/>
    <mergeCell ref="B71:B78"/>
    <mergeCell ref="W71:W78"/>
    <mergeCell ref="Y71:Y78"/>
    <mergeCell ref="B80:B88"/>
    <mergeCell ref="W80:W88"/>
    <mergeCell ref="Y80:Y88"/>
    <mergeCell ref="B48:B58"/>
    <mergeCell ref="W48:W58"/>
    <mergeCell ref="Y48:Y58"/>
    <mergeCell ref="B60:B69"/>
    <mergeCell ref="W60:W69"/>
    <mergeCell ref="Y60:Y69"/>
    <mergeCell ref="B18:B29"/>
    <mergeCell ref="W18:W29"/>
    <mergeCell ref="Y18:Y29"/>
    <mergeCell ref="B31:B46"/>
    <mergeCell ref="W31:W46"/>
    <mergeCell ref="Y31:Y46"/>
    <mergeCell ref="B6:B8"/>
    <mergeCell ref="W6:W8"/>
    <mergeCell ref="Y6:Y8"/>
    <mergeCell ref="B10:B16"/>
    <mergeCell ref="W10:W16"/>
    <mergeCell ref="Y10:Y16"/>
  </mergeCells>
  <phoneticPr fontId="3" type="noConversion"/>
  <conditionalFormatting sqref="I19">
    <cfRule type="containsText" dxfId="0" priority="1" operator="containsText" text="X">
      <formula>NOT(ISERROR(SEARCH("X",I19)))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投資金額、產能、人工計算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alisonchen 陳宜雯</dc:creator>
  <cp:lastModifiedBy>alisonchen 陳宜雯</cp:lastModifiedBy>
  <dcterms:created xsi:type="dcterms:W3CDTF">2026-10-16T03:09:12Z</dcterms:created>
  <dcterms:modified xsi:type="dcterms:W3CDTF">2026-10-16T03:09:27Z</dcterms:modified>
</cp:coreProperties>
</file>